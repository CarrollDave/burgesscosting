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activeX/activeX1.bin" ContentType="application/vnd.ms-office.activeX"/>
  <Override PartName="/xl/activeX/activeX1.xml" ContentType="application/vnd.ms-office.activeX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eg\Dropbox\Burgess Costing\extended version\"/>
    </mc:Choice>
  </mc:AlternateContent>
  <xr:revisionPtr revIDLastSave="0" documentId="13_ncr:1_{9B8364F3-3D1A-435C-A278-6AF3A5CFA7D8}" xr6:coauthVersionLast="45" xr6:coauthVersionMax="45" xr10:uidLastSave="{00000000-0000-0000-0000-000000000000}"/>
  <workbookProtection lockStructure="1"/>
  <bookViews>
    <workbookView xWindow="-108" yWindow="-108" windowWidth="23256" windowHeight="13176" xr2:uid="{E1319131-DD78-4774-9BCF-A5B5855E0523}"/>
  </bookViews>
  <sheets>
    <sheet name="MAIN" sheetId="2" r:id="rId1"/>
    <sheet name="PROCESS RATES" sheetId="14" r:id="rId2"/>
    <sheet name="LABOR REF" sheetId="9" r:id="rId3"/>
    <sheet name="GROSS LUMBER OUT" sheetId="7" r:id="rId4"/>
    <sheet name="LUMBER COST REF" sheetId="1" r:id="rId5"/>
    <sheet name="NAIL COST REF" sheetId="3" r:id="rId6"/>
    <sheet name="FINISHING REF" sheetId="11" r:id="rId7"/>
    <sheet name="LUMBER LENGTH REF" sheetId="10" r:id="rId8"/>
  </sheets>
  <definedNames>
    <definedName name="_xlnm.Print_Area" localSheetId="0">MAIN!$B$2:$Q$58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8" i="2" l="1"/>
  <c r="O9" i="2"/>
  <c r="O10" i="2"/>
  <c r="O11" i="2"/>
  <c r="O12" i="2"/>
  <c r="O13" i="2"/>
  <c r="O7" i="2"/>
  <c r="E10" i="14" l="1"/>
  <c r="E4" i="14"/>
  <c r="E5" i="14"/>
  <c r="E6" i="14"/>
  <c r="E7" i="14"/>
  <c r="E8" i="14"/>
  <c r="Q27" i="2" l="1"/>
  <c r="P27" i="2"/>
  <c r="O27" i="2"/>
  <c r="N27" i="2"/>
  <c r="J8" i="2"/>
  <c r="J9" i="2"/>
  <c r="J10" i="2"/>
  <c r="J11" i="2"/>
  <c r="J12" i="2"/>
  <c r="J13" i="2"/>
  <c r="J7" i="2"/>
  <c r="J14" i="2" l="1"/>
  <c r="H5" i="14"/>
  <c r="H6" i="14"/>
  <c r="H7" i="14"/>
  <c r="I35" i="2" s="1"/>
  <c r="H8" i="14"/>
  <c r="H9" i="14"/>
  <c r="I37" i="2" s="1"/>
  <c r="H10" i="14"/>
  <c r="I33" i="2"/>
  <c r="I34" i="2"/>
  <c r="I36" i="2"/>
  <c r="I38" i="2"/>
  <c r="H4" i="14"/>
  <c r="I32" i="2" s="1"/>
  <c r="K11" i="14" l="1"/>
  <c r="B139" i="9"/>
  <c r="C139" i="9" s="1"/>
  <c r="E139" i="9"/>
  <c r="B130" i="9"/>
  <c r="C130" i="9" s="1"/>
  <c r="B131" i="9"/>
  <c r="C131" i="9" s="1"/>
  <c r="D131" i="9"/>
  <c r="E131" i="9"/>
  <c r="B132" i="9"/>
  <c r="C132" i="9" s="1"/>
  <c r="B133" i="9"/>
  <c r="C133" i="9" s="1"/>
  <c r="D133" i="9"/>
  <c r="E133" i="9"/>
  <c r="B134" i="9"/>
  <c r="C134" i="9" s="1"/>
  <c r="B135" i="9"/>
  <c r="C135" i="9" s="1"/>
  <c r="D135" i="9"/>
  <c r="E135" i="9"/>
  <c r="B136" i="9"/>
  <c r="C136" i="9" s="1"/>
  <c r="B137" i="9"/>
  <c r="C137" i="9" s="1"/>
  <c r="D137" i="9"/>
  <c r="E137" i="9"/>
  <c r="B138" i="9"/>
  <c r="C138" i="9" s="1"/>
  <c r="D119" i="9"/>
  <c r="E119" i="9"/>
  <c r="C128" i="9"/>
  <c r="B120" i="9"/>
  <c r="E120" i="9" s="1"/>
  <c r="B121" i="9"/>
  <c r="E121" i="9" s="1"/>
  <c r="B122" i="9"/>
  <c r="C122" i="9" s="1"/>
  <c r="B123" i="9"/>
  <c r="E123" i="9" s="1"/>
  <c r="B124" i="9"/>
  <c r="E124" i="9" s="1"/>
  <c r="B125" i="9"/>
  <c r="E125" i="9" s="1"/>
  <c r="B126" i="9"/>
  <c r="E126" i="9" s="1"/>
  <c r="B127" i="9"/>
  <c r="E127" i="9" s="1"/>
  <c r="B128" i="9"/>
  <c r="E128" i="9" s="1"/>
  <c r="B129" i="9"/>
  <c r="E129" i="9" s="1"/>
  <c r="B119" i="9"/>
  <c r="C119" i="9" s="1"/>
  <c r="D139" i="9" l="1"/>
  <c r="E138" i="9"/>
  <c r="E136" i="9"/>
  <c r="E134" i="9"/>
  <c r="E132" i="9"/>
  <c r="E130" i="9"/>
  <c r="D138" i="9"/>
  <c r="D136" i="9"/>
  <c r="D134" i="9"/>
  <c r="D132" i="9"/>
  <c r="D130" i="9"/>
  <c r="C129" i="9"/>
  <c r="D129" i="9"/>
  <c r="D128" i="9"/>
  <c r="D121" i="9"/>
  <c r="C127" i="9"/>
  <c r="D127" i="9"/>
  <c r="C126" i="9"/>
  <c r="D126" i="9"/>
  <c r="C125" i="9"/>
  <c r="D125" i="9"/>
  <c r="C124" i="9"/>
  <c r="D124" i="9"/>
  <c r="C123" i="9"/>
  <c r="D123" i="9"/>
  <c r="C121" i="9"/>
  <c r="D122" i="9"/>
  <c r="C120" i="9"/>
  <c r="D120" i="9"/>
  <c r="E122" i="9"/>
  <c r="J5" i="14" l="1"/>
  <c r="J6" i="14"/>
  <c r="J7" i="14"/>
  <c r="J8" i="14"/>
  <c r="J9" i="14"/>
  <c r="J10" i="14"/>
  <c r="J4" i="14"/>
  <c r="L39" i="2" l="1"/>
  <c r="L40" i="2" s="1"/>
  <c r="J38" i="2"/>
  <c r="I6" i="14"/>
  <c r="J34" i="2" s="1"/>
  <c r="I7" i="14"/>
  <c r="J35" i="2" s="1"/>
  <c r="I8" i="14"/>
  <c r="J36" i="2" s="1"/>
  <c r="I9" i="14"/>
  <c r="J37" i="2" s="1"/>
  <c r="I10" i="14"/>
  <c r="I5" i="14"/>
  <c r="J33" i="2" s="1"/>
  <c r="L32" i="2" l="1"/>
  <c r="L41" i="2"/>
  <c r="D5" i="14"/>
  <c r="D6" i="14"/>
  <c r="D7" i="14"/>
  <c r="D8" i="14"/>
  <c r="D9" i="14"/>
  <c r="D10" i="14"/>
  <c r="D4" i="14"/>
  <c r="H33" i="2"/>
  <c r="H34" i="2"/>
  <c r="H38" i="2"/>
  <c r="G5" i="14"/>
  <c r="G6" i="14"/>
  <c r="G7" i="14"/>
  <c r="H35" i="2" s="1"/>
  <c r="G8" i="14"/>
  <c r="H36" i="2" s="1"/>
  <c r="G9" i="14"/>
  <c r="H37" i="2" s="1"/>
  <c r="G10" i="14"/>
  <c r="G4" i="14"/>
  <c r="H32" i="2" s="1"/>
  <c r="E34" i="2"/>
  <c r="E38" i="2"/>
  <c r="F34" i="2"/>
  <c r="F36" i="2"/>
  <c r="F38" i="2"/>
  <c r="F33" i="2"/>
  <c r="F35" i="2"/>
  <c r="F9" i="14"/>
  <c r="G37" i="2" s="1"/>
  <c r="F10" i="14"/>
  <c r="C14" i="9"/>
  <c r="C15" i="9"/>
  <c r="C16" i="9"/>
  <c r="C17" i="9"/>
  <c r="C1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23" i="9"/>
  <c r="G38" i="2"/>
  <c r="D7" i="2"/>
  <c r="D8" i="2" s="1"/>
  <c r="D9" i="2" l="1"/>
  <c r="O51" i="2"/>
  <c r="L33" i="2"/>
  <c r="D11" i="2" l="1"/>
  <c r="D12" i="2" s="1"/>
  <c r="D10" i="2"/>
  <c r="L36" i="2"/>
  <c r="L35" i="2"/>
  <c r="L34" i="2"/>
  <c r="O42" i="2"/>
  <c r="H39" i="2"/>
  <c r="H41" i="2" s="1"/>
  <c r="I39" i="2"/>
  <c r="I41" i="2" s="1"/>
  <c r="F9" i="7"/>
  <c r="E9" i="7"/>
  <c r="D9" i="7"/>
  <c r="F8" i="7"/>
  <c r="E8" i="7"/>
  <c r="D8" i="7"/>
  <c r="E9" i="14" s="1"/>
  <c r="F7" i="7"/>
  <c r="E7" i="7"/>
  <c r="F8" i="14" s="1"/>
  <c r="G36" i="2" s="1"/>
  <c r="D7" i="7"/>
  <c r="F6" i="7"/>
  <c r="E6" i="7"/>
  <c r="D6" i="7"/>
  <c r="F5" i="7"/>
  <c r="E5" i="7"/>
  <c r="D5" i="7"/>
  <c r="F4" i="7"/>
  <c r="E4" i="7"/>
  <c r="F5" i="14" s="1"/>
  <c r="G33" i="2" s="1"/>
  <c r="D4" i="7"/>
  <c r="F3" i="7"/>
  <c r="E3" i="7"/>
  <c r="D3" i="7"/>
  <c r="F6" i="14" l="1"/>
  <c r="G34" i="2" s="1"/>
  <c r="F7" i="14"/>
  <c r="G35" i="2" s="1"/>
  <c r="D13" i="2"/>
  <c r="D25" i="2" s="1"/>
  <c r="D38" i="2" s="1"/>
  <c r="N47" i="2"/>
  <c r="N48" i="2" s="1"/>
  <c r="F4" i="14"/>
  <c r="C3" i="7"/>
  <c r="D48" i="2"/>
  <c r="C4" i="7"/>
  <c r="D49" i="2"/>
  <c r="D21" i="2"/>
  <c r="D34" i="2" s="1"/>
  <c r="D50" i="2"/>
  <c r="Q42" i="2"/>
  <c r="P42" i="2"/>
  <c r="L43" i="2"/>
  <c r="L26" i="2" s="1"/>
  <c r="G6" i="7"/>
  <c r="I6" i="7" s="1"/>
  <c r="G5" i="7"/>
  <c r="G9" i="7"/>
  <c r="J9" i="7" s="1"/>
  <c r="G3" i="7"/>
  <c r="D20" i="2"/>
  <c r="D33" i="2" s="1"/>
  <c r="C5" i="7"/>
  <c r="D19" i="2"/>
  <c r="D32" i="2" s="1"/>
  <c r="G8" i="7"/>
  <c r="G4" i="7"/>
  <c r="C9" i="7"/>
  <c r="G7" i="7"/>
  <c r="D51" i="2"/>
  <c r="I3" i="7" l="1"/>
  <c r="I4" i="14"/>
  <c r="J32" i="2" s="1"/>
  <c r="J40" i="2" s="1" a="1"/>
  <c r="J40" i="2" s="1"/>
  <c r="K11" i="2"/>
  <c r="I7" i="7"/>
  <c r="H5" i="7"/>
  <c r="L9" i="2" s="1"/>
  <c r="I5" i="7"/>
  <c r="H4" i="7"/>
  <c r="L8" i="2" s="1"/>
  <c r="I4" i="7"/>
  <c r="K12" i="2"/>
  <c r="E37" i="2" s="1"/>
  <c r="I8" i="7"/>
  <c r="H3" i="7"/>
  <c r="L7" i="2" s="1"/>
  <c r="K9" i="2"/>
  <c r="K34" i="2" s="1"/>
  <c r="H6" i="7"/>
  <c r="L10" i="2" s="1"/>
  <c r="K10" i="2"/>
  <c r="K8" i="2"/>
  <c r="H9" i="7"/>
  <c r="L13" i="2" s="1"/>
  <c r="I9" i="7"/>
  <c r="K13" i="2"/>
  <c r="K38" i="2" s="1"/>
  <c r="O38" i="2" s="1"/>
  <c r="J8" i="7"/>
  <c r="H8" i="7"/>
  <c r="L12" i="2" s="1"/>
  <c r="H7" i="7"/>
  <c r="L11" i="2" s="1"/>
  <c r="K7" i="2"/>
  <c r="D22" i="2"/>
  <c r="D35" i="2" s="1"/>
  <c r="C6" i="7"/>
  <c r="L27" i="2"/>
  <c r="E33" i="2" l="1"/>
  <c r="K33" i="2"/>
  <c r="E36" i="2"/>
  <c r="K36" i="2"/>
  <c r="K35" i="2"/>
  <c r="E35" i="2"/>
  <c r="K37" i="2"/>
  <c r="F37" i="2"/>
  <c r="M12" i="2"/>
  <c r="N12" i="2" s="1"/>
  <c r="P12" i="2" s="1"/>
  <c r="M9" i="2"/>
  <c r="N9" i="2" s="1"/>
  <c r="P9" i="2" s="1"/>
  <c r="M10" i="2"/>
  <c r="N10" i="2" s="1"/>
  <c r="P10" i="2" s="1"/>
  <c r="M11" i="2"/>
  <c r="N11" i="2" s="1"/>
  <c r="P11" i="2" s="1"/>
  <c r="M7" i="2"/>
  <c r="N7" i="2" s="1"/>
  <c r="M8" i="2"/>
  <c r="N8" i="2" s="1"/>
  <c r="P8" i="2" s="1"/>
  <c r="H40" i="2" a="1"/>
  <c r="H40" i="2" s="1"/>
  <c r="H43" i="2" s="1"/>
  <c r="H27" i="2" s="1"/>
  <c r="I40" i="2" a="1"/>
  <c r="I40" i="2" s="1"/>
  <c r="I43" i="2" s="1"/>
  <c r="I26" i="2" s="1"/>
  <c r="J39" i="2"/>
  <c r="K32" i="2"/>
  <c r="E32" i="2"/>
  <c r="F32" i="2"/>
  <c r="F40" i="2" s="1" a="1"/>
  <c r="F40" i="2" s="1"/>
  <c r="D52" i="2"/>
  <c r="D23" i="2"/>
  <c r="D36" i="2" s="1"/>
  <c r="C7" i="7"/>
  <c r="M13" i="2"/>
  <c r="N13" i="2" s="1"/>
  <c r="P13" i="2" s="1"/>
  <c r="K14" i="2"/>
  <c r="L14" i="2"/>
  <c r="O14" i="2"/>
  <c r="D24" i="2"/>
  <c r="D37" i="2" s="1"/>
  <c r="C8" i="7"/>
  <c r="E40" i="2" l="1" a="1"/>
  <c r="E40" i="2" s="1"/>
  <c r="K40" i="2" a="1"/>
  <c r="K40" i="2" s="1"/>
  <c r="O37" i="2"/>
  <c r="N14" i="2"/>
  <c r="P14" i="2" s="1"/>
  <c r="P7" i="2"/>
  <c r="H26" i="2"/>
  <c r="F39" i="2"/>
  <c r="E39" i="2"/>
  <c r="K39" i="2"/>
  <c r="J43" i="2"/>
  <c r="M14" i="2"/>
  <c r="I27" i="2"/>
  <c r="J26" i="2" l="1"/>
  <c r="J27" i="2"/>
  <c r="K43" i="2"/>
  <c r="K26" i="2" s="1"/>
  <c r="F43" i="2"/>
  <c r="F26" i="2" s="1"/>
  <c r="F27" i="2" l="1"/>
  <c r="K27" i="2"/>
  <c r="Q51" i="2"/>
  <c r="P51" i="2"/>
  <c r="N51" i="2"/>
  <c r="M51" i="2"/>
  <c r="L51" i="2"/>
  <c r="F52" i="2" l="1"/>
  <c r="G52" i="2" s="1"/>
  <c r="H52" i="2" s="1"/>
  <c r="F51" i="2"/>
  <c r="G51" i="2" s="1"/>
  <c r="H51" i="2" s="1"/>
  <c r="F50" i="2"/>
  <c r="F49" i="2"/>
  <c r="G49" i="2" s="1"/>
  <c r="H49" i="2" s="1"/>
  <c r="G50" i="2" l="1"/>
  <c r="H50" i="2" s="1"/>
  <c r="C8" i="14"/>
  <c r="C4" i="14"/>
  <c r="C10" i="14"/>
  <c r="G32" i="2"/>
  <c r="G40" i="2" s="1" a="1"/>
  <c r="G40" i="2" s="1"/>
  <c r="G39" i="2" l="1"/>
  <c r="G41" i="2" s="1"/>
  <c r="C5" i="14"/>
  <c r="C6" i="14"/>
  <c r="F48" i="2"/>
  <c r="L11" i="14" s="1"/>
  <c r="M39" i="2" s="1"/>
  <c r="M40" i="2" s="1"/>
  <c r="M41" i="2" l="1"/>
  <c r="M34" i="2"/>
  <c r="O34" i="2" s="1"/>
  <c r="M33" i="2"/>
  <c r="O33" i="2" s="1"/>
  <c r="M32" i="2"/>
  <c r="O32" i="2" s="1"/>
  <c r="P32" i="2" s="1"/>
  <c r="M36" i="2"/>
  <c r="O36" i="2" s="1"/>
  <c r="M35" i="2"/>
  <c r="O35" i="2" s="1"/>
  <c r="O39" i="2"/>
  <c r="C7" i="14"/>
  <c r="G48" i="2"/>
  <c r="H48" i="2" s="1"/>
  <c r="G53" i="2" s="1" a="1"/>
  <c r="G53" i="2" s="1"/>
  <c r="F53" i="2"/>
  <c r="O41" i="2" l="1"/>
  <c r="Q41" i="2" s="1"/>
  <c r="M43" i="2"/>
  <c r="M27" i="2" s="1"/>
  <c r="G43" i="2"/>
  <c r="G27" i="2" s="1"/>
  <c r="C9" i="14"/>
  <c r="P38" i="2"/>
  <c r="Q38" i="2"/>
  <c r="Q36" i="2"/>
  <c r="P36" i="2"/>
  <c r="H53" i="2"/>
  <c r="L47" i="2" s="1"/>
  <c r="P41" i="2" l="1"/>
  <c r="M26" i="2"/>
  <c r="G26" i="2"/>
  <c r="P34" i="2"/>
  <c r="Q34" i="2"/>
  <c r="P37" i="2"/>
  <c r="Q37" i="2"/>
  <c r="P35" i="2"/>
  <c r="Q35" i="2"/>
  <c r="Q33" i="2"/>
  <c r="P33" i="2"/>
  <c r="Q32" i="2" l="1"/>
  <c r="P39" i="2"/>
  <c r="Q39" i="2"/>
  <c r="L48" i="2"/>
  <c r="O40" i="2" l="1"/>
  <c r="Q40" i="2" s="1"/>
  <c r="Q43" i="2" s="1"/>
  <c r="E43" i="2"/>
  <c r="E26" i="2" s="1"/>
  <c r="P40" i="2" l="1"/>
  <c r="O43" i="2"/>
  <c r="E27" i="2"/>
  <c r="P43" i="2" l="1"/>
  <c r="M47" i="2" s="1"/>
  <c r="Q47" i="2" s="1"/>
  <c r="K53" i="2" s="1"/>
  <c r="M48" i="2" l="1"/>
  <c r="Q48" i="2" s="1"/>
  <c r="K54" i="2" s="1"/>
  <c r="M54" i="2" s="1"/>
  <c r="M58" i="2" s="1"/>
  <c r="O53" i="2"/>
  <c r="O57" i="2" s="1"/>
  <c r="P53" i="2"/>
  <c r="P57" i="2" s="1"/>
  <c r="L53" i="2"/>
  <c r="L57" i="2" s="1"/>
  <c r="N53" i="2"/>
  <c r="N57" i="2" s="1"/>
  <c r="Q53" i="2"/>
  <c r="Q57" i="2" s="1"/>
  <c r="M53" i="2"/>
  <c r="M57" i="2" s="1"/>
  <c r="P54" i="2" l="1"/>
  <c r="P58" i="2" s="1"/>
  <c r="Q54" i="2"/>
  <c r="Q58" i="2" s="1"/>
  <c r="L54" i="2"/>
  <c r="L58" i="2" s="1"/>
  <c r="O54" i="2"/>
  <c r="O58" i="2" s="1"/>
  <c r="N54" i="2"/>
  <c r="N58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<sst xmlns="http://schemas.openxmlformats.org/spreadsheetml/2006/main" count="325" uniqueCount="194">
  <si>
    <t>4"</t>
  </si>
  <si>
    <t>6"</t>
  </si>
  <si>
    <t>HC</t>
  </si>
  <si>
    <t>SB2</t>
  </si>
  <si>
    <t>SB3</t>
  </si>
  <si>
    <t>SB4</t>
  </si>
  <si>
    <t>SR2</t>
  </si>
  <si>
    <t>SR3</t>
  </si>
  <si>
    <t>SR4</t>
  </si>
  <si>
    <t>ST2</t>
  </si>
  <si>
    <t>ST3</t>
  </si>
  <si>
    <t>ST4</t>
  </si>
  <si>
    <t>NAIL COST TABLE</t>
  </si>
  <si>
    <t>G150</t>
  </si>
  <si>
    <t>G200</t>
  </si>
  <si>
    <t>G225</t>
  </si>
  <si>
    <t>G250</t>
  </si>
  <si>
    <t>G300</t>
  </si>
  <si>
    <t>M150</t>
  </si>
  <si>
    <t>M200</t>
  </si>
  <si>
    <t>M225</t>
  </si>
  <si>
    <t>R125</t>
  </si>
  <si>
    <t>R300</t>
  </si>
  <si>
    <t>TYPE</t>
  </si>
  <si>
    <t>COST [$/100]</t>
  </si>
  <si>
    <t>Deck Boards</t>
  </si>
  <si>
    <t>Top</t>
  </si>
  <si>
    <t>Bottom</t>
  </si>
  <si>
    <t>Thickness</t>
  </si>
  <si>
    <t>Width</t>
  </si>
  <si>
    <t>Length</t>
  </si>
  <si>
    <t>Stringers</t>
  </si>
  <si>
    <t>Band Re-saw</t>
  </si>
  <si>
    <t>Chamfer</t>
  </si>
  <si>
    <t>Notching</t>
  </si>
  <si>
    <t>Plywood</t>
  </si>
  <si>
    <t>Package Saw</t>
  </si>
  <si>
    <t>Strapping</t>
  </si>
  <si>
    <t>Ind. Saw</t>
  </si>
  <si>
    <t>Nail Gun</t>
  </si>
  <si>
    <t>Qty/plt</t>
  </si>
  <si>
    <t>Adjustments [hr]</t>
  </si>
  <si>
    <t>Date:</t>
  </si>
  <si>
    <t>Customer:</t>
  </si>
  <si>
    <t>Quantity:</t>
  </si>
  <si>
    <t>Miles:</t>
  </si>
  <si>
    <t>Lumber:</t>
  </si>
  <si>
    <t>Size:</t>
  </si>
  <si>
    <t>LUMBER</t>
  </si>
  <si>
    <t>YIELD [%]</t>
  </si>
  <si>
    <t>THICKNESS</t>
  </si>
  <si>
    <t>Total</t>
  </si>
  <si>
    <t>Part</t>
  </si>
  <si>
    <t>#</t>
  </si>
  <si>
    <t>Yield [%]</t>
  </si>
  <si>
    <t>Gross [BF]</t>
  </si>
  <si>
    <t>Gross Dimensions [in]</t>
  </si>
  <si>
    <t>Dimensions [in]</t>
  </si>
  <si>
    <t>Multiple Types?</t>
  </si>
  <si>
    <t>Count/plt</t>
  </si>
  <si>
    <t>Panelling</t>
  </si>
  <si>
    <t>CANT SAW</t>
  </si>
  <si>
    <t xml:space="preserve">TABLE 1 </t>
  </si>
  <si>
    <t>CANT Saw</t>
  </si>
  <si>
    <t>TABLE 3</t>
  </si>
  <si>
    <t>IND. SAW</t>
  </si>
  <si>
    <t>BAND RE-SAW</t>
  </si>
  <si>
    <t>TABLE 2</t>
  </si>
  <si>
    <t>TABLE 5</t>
  </si>
  <si>
    <t>NOTCHER</t>
  </si>
  <si>
    <t>TABLE 7</t>
  </si>
  <si>
    <t>PANEL SAW</t>
  </si>
  <si>
    <t>TABLE 8</t>
  </si>
  <si>
    <t>NAILS</t>
  </si>
  <si>
    <t>LABOR TOTALS</t>
  </si>
  <si>
    <t>Labor</t>
  </si>
  <si>
    <t>Materials</t>
  </si>
  <si>
    <t>Misc./Other</t>
  </si>
  <si>
    <t>LENGTH TABLE</t>
  </si>
  <si>
    <t>Desired L [in]</t>
  </si>
  <si>
    <t>Minimum L [in]</t>
  </si>
  <si>
    <t>Setup [hr/plt]</t>
  </si>
  <si>
    <t>Heat Treat &amp; Stamping</t>
  </si>
  <si>
    <t>Stamping Only</t>
  </si>
  <si>
    <t>Painting</t>
  </si>
  <si>
    <t>Freight</t>
  </si>
  <si>
    <t>Sawing</t>
  </si>
  <si>
    <t>Nailing</t>
  </si>
  <si>
    <t>Finishing</t>
  </si>
  <si>
    <t>SAWING</t>
  </si>
  <si>
    <t>NAILING</t>
  </si>
  <si>
    <t>FINISHING</t>
  </si>
  <si>
    <t>TOTAL COST</t>
  </si>
  <si>
    <t>Margin -&gt;</t>
  </si>
  <si>
    <t>Divisor -&gt;</t>
  </si>
  <si>
    <t>Each</t>
  </si>
  <si>
    <t>Order</t>
  </si>
  <si>
    <t>Total Cost</t>
  </si>
  <si>
    <t>SELLING PRICE</t>
  </si>
  <si>
    <t>PROFIT</t>
  </si>
  <si>
    <t>FINISHING COSTS</t>
  </si>
  <si>
    <t>COST   [$/plt]</t>
  </si>
  <si>
    <t>Viking/GAP</t>
  </si>
  <si>
    <t>Hours/plt</t>
  </si>
  <si>
    <t>Hours/Order</t>
  </si>
  <si>
    <t xml:space="preserve">Cost/plt      </t>
  </si>
  <si>
    <t xml:space="preserve">Cost/Hour </t>
  </si>
  <si>
    <t xml:space="preserve">Cost/100           </t>
  </si>
  <si>
    <t xml:space="preserve">Cost/plt         </t>
  </si>
  <si>
    <t>BOARD/HR</t>
  </si>
  <si>
    <t>Type</t>
  </si>
  <si>
    <t>WIDTH [IN]</t>
  </si>
  <si>
    <t>MIN LENGTH [IN]</t>
  </si>
  <si>
    <t>MAX LENGTH [IN]</t>
  </si>
  <si>
    <t>Efficiency Adj. [hr/plt]</t>
  </si>
  <si>
    <t>Process Rates</t>
  </si>
  <si>
    <t>Cost/MBFT</t>
  </si>
  <si>
    <t>Heat Treat. /Stamping</t>
  </si>
  <si>
    <t>Assemb. Loss [%]</t>
  </si>
  <si>
    <t>Notch. Loss [%]</t>
  </si>
  <si>
    <t>PLYWOOD COST</t>
  </si>
  <si>
    <t>SOFTWOOD YIELD</t>
  </si>
  <si>
    <t>HARDWOOD YIELD</t>
  </si>
  <si>
    <t>ASSEMBLY LOSS</t>
  </si>
  <si>
    <t>[%]</t>
  </si>
  <si>
    <t>DECKBOARD</t>
  </si>
  <si>
    <t>STRINGER</t>
  </si>
  <si>
    <t>NOTCHING LOSS</t>
  </si>
  <si>
    <t>SOFT/HARDWOOD COST</t>
  </si>
  <si>
    <t>CATEGORY</t>
  </si>
  <si>
    <t>PROCESS HOURS</t>
  </si>
  <si>
    <t>COST [MBFT]</t>
  </si>
  <si>
    <t>Cost/plt</t>
  </si>
  <si>
    <t>PROCESS SELECTION</t>
  </si>
  <si>
    <t>PLY</t>
  </si>
  <si>
    <t>Hardwood</t>
  </si>
  <si>
    <t>Softwood</t>
  </si>
  <si>
    <t>-----</t>
  </si>
  <si>
    <t>----</t>
  </si>
  <si>
    <t>Calculated labor [hr/plt]</t>
  </si>
  <si>
    <t>Subtotal [hr/plt]</t>
  </si>
  <si>
    <t>MBFT/HR</t>
  </si>
  <si>
    <t>HR/MBFT</t>
  </si>
  <si>
    <t>MIN THICKNESS [IN]</t>
  </si>
  <si>
    <t>MAX THICKNESS [IN]</t>
  </si>
  <si>
    <t>--</t>
  </si>
  <si>
    <t>TxW [IN^2]</t>
  </si>
  <si>
    <t>CHAMFER</t>
  </si>
  <si>
    <t>BOARD</t>
  </si>
  <si>
    <t>ALL</t>
  </si>
  <si>
    <t>TABLE 4</t>
  </si>
  <si>
    <t>MIN BOARD FEET</t>
  </si>
  <si>
    <t xml:space="preserve">BOARD/HR (3/8" Thick) </t>
  </si>
  <si>
    <t>BOARD/HR (1/2" Thick)</t>
  </si>
  <si>
    <t>BOARD/HR     (5/8-3/4"Thick)</t>
  </si>
  <si>
    <t>ID    [Wx1000+L]</t>
  </si>
  <si>
    <t>TABLE 6</t>
  </si>
  <si>
    <t>PACKAGE SAW</t>
  </si>
  <si>
    <t>No. Stringers</t>
  </si>
  <si>
    <t>No. Deck Boards</t>
  </si>
  <si>
    <t>Stringer Length [IN]</t>
  </si>
  <si>
    <t>PLT/HR</t>
  </si>
  <si>
    <t>NAIL GUN</t>
  </si>
  <si>
    <t>Stringer Len&lt;41"</t>
  </si>
  <si>
    <t>Stringer Len&gt;42"</t>
  </si>
  <si>
    <t>ID [#Sx10000 + #DBx100 + L]</t>
  </si>
  <si>
    <t>TABLE 9</t>
  </si>
  <si>
    <t>Top Nails/Stringer</t>
  </si>
  <si>
    <t>Stringer L&gt;55"            No. ST&lt;=3 PLT/HR</t>
  </si>
  <si>
    <t>Stringer L&lt;=55"            No. ST&gt;3  PLT/HR</t>
  </si>
  <si>
    <t>Stringer L&gt;55" No. ST&gt;3  PLT/HR</t>
  </si>
  <si>
    <t>Process</t>
  </si>
  <si>
    <t>IND SAW</t>
  </si>
  <si>
    <t>VIKING/GAP</t>
  </si>
  <si>
    <t>Efficiency Adjustment   [%]</t>
  </si>
  <si>
    <t>Yield            [%]</t>
  </si>
  <si>
    <r>
      <t xml:space="preserve">CANT Saw   </t>
    </r>
    <r>
      <rPr>
        <sz val="11"/>
        <color rgb="FF000000"/>
        <rFont val="Calibri"/>
        <family val="2"/>
      </rPr>
      <t>[MBFT/Hr]</t>
    </r>
  </si>
  <si>
    <r>
      <t xml:space="preserve">Ind. Saw    </t>
    </r>
    <r>
      <rPr>
        <sz val="11"/>
        <color rgb="FF000000"/>
        <rFont val="Calibri"/>
        <family val="2"/>
      </rPr>
      <t>[MBFT/Hr]</t>
    </r>
  </si>
  <si>
    <r>
      <t xml:space="preserve">Band Re-saw </t>
    </r>
    <r>
      <rPr>
        <sz val="11"/>
        <color rgb="FF000000"/>
        <rFont val="Calibri"/>
        <family val="2"/>
      </rPr>
      <t>[Board/Hr]</t>
    </r>
  </si>
  <si>
    <r>
      <t xml:space="preserve">Chamfer </t>
    </r>
    <r>
      <rPr>
        <sz val="11"/>
        <color rgb="FF000000"/>
        <rFont val="Calibri"/>
        <family val="2"/>
      </rPr>
      <t>[Board/Hr]</t>
    </r>
  </si>
  <si>
    <r>
      <t xml:space="preserve">Notching </t>
    </r>
    <r>
      <rPr>
        <sz val="11"/>
        <color rgb="FF000000"/>
        <rFont val="Calibri"/>
        <family val="2"/>
      </rPr>
      <t>[Board/Hr]</t>
    </r>
  </si>
  <si>
    <r>
      <t xml:space="preserve">Package Saw </t>
    </r>
    <r>
      <rPr>
        <sz val="11"/>
        <color rgb="FF000000"/>
        <rFont val="Calibri"/>
        <family val="2"/>
      </rPr>
      <t>[MBFT/Hr]</t>
    </r>
  </si>
  <si>
    <r>
      <t xml:space="preserve">Nail Gun   </t>
    </r>
    <r>
      <rPr>
        <sz val="11"/>
        <color rgb="FF000000"/>
        <rFont val="Calibri"/>
        <family val="2"/>
      </rPr>
      <t>[PLT/HR]</t>
    </r>
  </si>
  <si>
    <r>
      <t xml:space="preserve">Viking/GAP   </t>
    </r>
    <r>
      <rPr>
        <sz val="11"/>
        <color rgb="FF000000"/>
        <rFont val="Calibri"/>
        <family val="2"/>
      </rPr>
      <t>[PLT/Hr]</t>
    </r>
  </si>
  <si>
    <r>
      <t xml:space="preserve">Panelling </t>
    </r>
    <r>
      <rPr>
        <sz val="11"/>
        <color rgb="FF000000"/>
        <rFont val="Calibri"/>
        <family val="2"/>
      </rPr>
      <t>[Board/Hr]</t>
    </r>
  </si>
  <si>
    <t>No. ST. &gt; 3</t>
  </si>
  <si>
    <t>No. ST. &lt;= 3</t>
  </si>
  <si>
    <t>Setup Adjustment              (Multiplied by # of process setups, divided by # of pallets.)</t>
  </si>
  <si>
    <t>Scrap      [BF/plt]</t>
  </si>
  <si>
    <t>Band              Re-saw</t>
  </si>
  <si>
    <t>Net Vol.       [BF/plt]</t>
  </si>
  <si>
    <t>Sawn Vol.    [BF/plt]</t>
  </si>
  <si>
    <t>Gross Vol. [BF/plt]</t>
  </si>
  <si>
    <t>WOOD TYPES (REF)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</si>
</sst>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0.000_)"/>
    <numFmt numFmtId="165" formatCode="[$-409]d\-mmm\-yy;@"/>
    <numFmt numFmtId="166" formatCode="0."/>
    <numFmt numFmtId="167" formatCode="0.0000"/>
    <numFmt numFmtId="168" formatCode="0.0"/>
    <numFmt numFmtId="169" formatCode="0.00_)"/>
    <numFmt numFmtId="170" formatCode="0.000"/>
    <numFmt numFmtId="171" formatCode="0_)"/>
    <numFmt numFmtId="172" formatCode="0.00000"/>
    <numFmt numFmtId="173" formatCode="0.0000000"/>
    <numFmt numFmtId="174" formatCode="0.0_)"/>
  </numFmts>
  <fonts count="17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757171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FFFFFF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lightDown">
        <fgColor theme="4" tint="0.59996337778862885"/>
        <bgColor indexed="65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lightDown">
        <fgColor rgb="FFB4C6E7"/>
        <bgColor rgb="FFFFFFFF"/>
      </patternFill>
    </fill>
    <fill>
      <patternFill patternType="lightDown">
        <fgColor auto="1"/>
        <bgColor auto="1"/>
      </patternFill>
    </fill>
    <fill>
      <patternFill patternType="lightDown">
        <fgColor auto="1"/>
      </patternFill>
    </fill>
    <fill>
      <patternFill patternType="solid">
        <fgColor theme="4" tint="0.59999389629810485"/>
        <bgColor rgb="FF000000"/>
      </patternFill>
    </fill>
    <fill>
      <patternFill patternType="lightDown"/>
    </fill>
  </fills>
  <borders count="172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dashed">
        <color indexed="64"/>
      </bottom>
      <diagonal/>
    </border>
    <border>
      <left style="hair">
        <color indexed="64"/>
      </left>
      <right/>
      <top style="dashed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mediumDashed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/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medium">
        <color indexed="64"/>
      </left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dashed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581">
    <xf numFmtId="0" fontId="0" fillId="0" borderId="0" xfId="0"/>
    <xf numFmtId="0" fontId="0" fillId="0" borderId="7" xfId="0" applyFont="1" applyBorder="1"/>
    <xf numFmtId="0" fontId="0" fillId="2" borderId="7" xfId="0" applyFont="1" applyFill="1" applyBorder="1"/>
    <xf numFmtId="164" fontId="1" fillId="0" borderId="7" xfId="0" applyNumberFormat="1" applyFont="1" applyBorder="1" applyProtection="1">
      <protection locked="0"/>
    </xf>
    <xf numFmtId="164" fontId="1" fillId="2" borderId="7" xfId="0" applyNumberFormat="1" applyFont="1" applyFill="1" applyBorder="1" applyProtection="1">
      <protection locked="0"/>
    </xf>
    <xf numFmtId="0" fontId="0" fillId="2" borderId="8" xfId="0" applyFont="1" applyFill="1" applyBorder="1"/>
    <xf numFmtId="164" fontId="1" fillId="2" borderId="8" xfId="0" applyNumberFormat="1" applyFont="1" applyFill="1" applyBorder="1" applyProtection="1">
      <protection locked="0"/>
    </xf>
    <xf numFmtId="0" fontId="0" fillId="0" borderId="9" xfId="0" applyBorder="1"/>
    <xf numFmtId="0" fontId="0" fillId="0" borderId="1" xfId="0" applyBorder="1"/>
    <xf numFmtId="0" fontId="0" fillId="0" borderId="10" xfId="0" applyBorder="1"/>
    <xf numFmtId="0" fontId="0" fillId="0" borderId="11" xfId="0" applyBorder="1"/>
    <xf numFmtId="0" fontId="2" fillId="0" borderId="0" xfId="0" applyFont="1"/>
    <xf numFmtId="0" fontId="0" fillId="0" borderId="0" xfId="0" applyBorder="1"/>
    <xf numFmtId="0" fontId="0" fillId="0" borderId="10" xfId="0" applyFont="1" applyBorder="1" applyAlignment="1"/>
    <xf numFmtId="166" fontId="3" fillId="2" borderId="24" xfId="0" applyNumberFormat="1" applyFont="1" applyFill="1" applyBorder="1" applyAlignment="1">
      <alignment horizontal="center" vertical="center"/>
    </xf>
    <xf numFmtId="166" fontId="3" fillId="2" borderId="31" xfId="0" applyNumberFormat="1" applyFont="1" applyFill="1" applyBorder="1" applyAlignment="1">
      <alignment horizontal="center" vertical="center"/>
    </xf>
    <xf numFmtId="2" fontId="0" fillId="2" borderId="25" xfId="0" applyNumberFormat="1" applyFill="1" applyBorder="1" applyAlignment="1">
      <alignment horizontal="center" vertical="center"/>
    </xf>
    <xf numFmtId="2" fontId="0" fillId="2" borderId="6" xfId="0" applyNumberFormat="1" applyFill="1" applyBorder="1" applyAlignment="1">
      <alignment horizontal="center" vertical="center"/>
    </xf>
    <xf numFmtId="2" fontId="0" fillId="2" borderId="44" xfId="0" applyNumberFormat="1" applyFill="1" applyBorder="1" applyAlignment="1">
      <alignment horizontal="center" vertical="center"/>
    </xf>
    <xf numFmtId="2" fontId="0" fillId="2" borderId="41" xfId="0" applyNumberFormat="1" applyFill="1" applyBorder="1" applyAlignment="1">
      <alignment horizontal="center" vertical="center"/>
    </xf>
    <xf numFmtId="2" fontId="0" fillId="2" borderId="32" xfId="0" applyNumberFormat="1" applyFill="1" applyBorder="1" applyAlignment="1">
      <alignment horizontal="center" vertical="center"/>
    </xf>
    <xf numFmtId="2" fontId="0" fillId="2" borderId="47" xfId="0" applyNumberFormat="1" applyFill="1" applyBorder="1" applyAlignment="1">
      <alignment horizontal="center" vertical="center"/>
    </xf>
    <xf numFmtId="2" fontId="0" fillId="2" borderId="31" xfId="0" applyNumberFormat="1" applyFill="1" applyBorder="1" applyAlignment="1">
      <alignment horizontal="center" vertical="center"/>
    </xf>
    <xf numFmtId="0" fontId="2" fillId="5" borderId="39" xfId="0" applyFont="1" applyFill="1" applyBorder="1" applyAlignment="1">
      <alignment horizontal="center"/>
    </xf>
    <xf numFmtId="0" fontId="2" fillId="5" borderId="35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center"/>
    </xf>
    <xf numFmtId="0" fontId="0" fillId="0" borderId="0" xfId="0" applyFill="1" applyBorder="1"/>
    <xf numFmtId="166" fontId="3" fillId="2" borderId="4" xfId="0" applyNumberFormat="1" applyFont="1" applyFill="1" applyBorder="1" applyAlignment="1">
      <alignment horizontal="center" vertical="center"/>
    </xf>
    <xf numFmtId="2" fontId="0" fillId="2" borderId="92" xfId="0" applyNumberFormat="1" applyFill="1" applyBorder="1" applyAlignment="1">
      <alignment horizontal="center" vertical="center"/>
    </xf>
    <xf numFmtId="2" fontId="0" fillId="2" borderId="93" xfId="0" applyNumberFormat="1" applyFill="1" applyBorder="1" applyAlignment="1">
      <alignment horizontal="center" vertical="center"/>
    </xf>
    <xf numFmtId="2" fontId="0" fillId="2" borderId="94" xfId="0" applyNumberFormat="1" applyFill="1" applyBorder="1" applyAlignment="1">
      <alignment horizontal="center" vertical="center"/>
    </xf>
    <xf numFmtId="2" fontId="0" fillId="2" borderId="4" xfId="0" applyNumberFormat="1" applyFill="1" applyBorder="1" applyAlignment="1">
      <alignment horizontal="center" vertical="center"/>
    </xf>
    <xf numFmtId="2" fontId="0" fillId="2" borderId="24" xfId="0" applyNumberFormat="1" applyFill="1" applyBorder="1" applyAlignment="1">
      <alignment horizontal="center" vertical="center"/>
    </xf>
    <xf numFmtId="0" fontId="6" fillId="0" borderId="0" xfId="0" applyFont="1" applyFill="1" applyBorder="1" applyAlignment="1">
      <alignment vertical="center" textRotation="90"/>
    </xf>
    <xf numFmtId="166" fontId="5" fillId="5" borderId="84" xfId="0" applyNumberFormat="1" applyFont="1" applyFill="1" applyBorder="1" applyAlignment="1">
      <alignment horizontal="center" vertical="center"/>
    </xf>
    <xf numFmtId="166" fontId="5" fillId="5" borderId="85" xfId="0" applyNumberFormat="1" applyFont="1" applyFill="1" applyBorder="1" applyAlignment="1">
      <alignment horizontal="center" vertical="center"/>
    </xf>
    <xf numFmtId="166" fontId="5" fillId="5" borderId="86" xfId="0" applyNumberFormat="1" applyFont="1" applyFill="1" applyBorder="1" applyAlignment="1">
      <alignment horizontal="center" vertical="center"/>
    </xf>
    <xf numFmtId="166" fontId="5" fillId="5" borderId="71" xfId="0" applyNumberFormat="1" applyFont="1" applyFill="1" applyBorder="1" applyAlignment="1">
      <alignment horizontal="center" vertical="center"/>
    </xf>
    <xf numFmtId="166" fontId="5" fillId="5" borderId="100" xfId="0" applyNumberFormat="1" applyFont="1" applyFill="1" applyBorder="1" applyAlignment="1">
      <alignment horizontal="center" vertical="center"/>
    </xf>
    <xf numFmtId="166" fontId="5" fillId="5" borderId="107" xfId="0" applyNumberFormat="1" applyFont="1" applyFill="1" applyBorder="1" applyAlignment="1">
      <alignment horizontal="center" vertical="center"/>
    </xf>
    <xf numFmtId="0" fontId="0" fillId="0" borderId="48" xfId="0" applyFill="1" applyBorder="1" applyAlignment="1" applyProtection="1">
      <alignment horizontal="center" vertical="center"/>
      <protection locked="0"/>
    </xf>
    <xf numFmtId="0" fontId="0" fillId="0" borderId="91" xfId="0" applyFill="1" applyBorder="1" applyAlignment="1" applyProtection="1">
      <alignment horizontal="center" vertical="center"/>
      <protection locked="0"/>
    </xf>
    <xf numFmtId="0" fontId="0" fillId="0" borderId="33" xfId="0" applyFill="1" applyBorder="1" applyAlignment="1" applyProtection="1">
      <alignment horizontal="center" vertical="center"/>
      <protection locked="0"/>
    </xf>
    <xf numFmtId="0" fontId="0" fillId="0" borderId="21" xfId="0" applyFill="1" applyBorder="1" applyAlignment="1" applyProtection="1">
      <alignment horizontal="center" vertical="center"/>
      <protection locked="0"/>
    </xf>
    <xf numFmtId="0" fontId="0" fillId="0" borderId="66" xfId="0" applyFill="1" applyBorder="1" applyAlignment="1" applyProtection="1">
      <alignment horizontal="center" vertical="center"/>
      <protection locked="0"/>
    </xf>
    <xf numFmtId="0" fontId="4" fillId="0" borderId="24" xfId="0" applyFont="1" applyBorder="1" applyAlignment="1" applyProtection="1">
      <alignment horizontal="center" vertical="center"/>
      <protection locked="0"/>
    </xf>
    <xf numFmtId="0" fontId="4" fillId="0" borderId="60" xfId="0" applyFont="1" applyBorder="1" applyAlignment="1" applyProtection="1">
      <alignment horizontal="center" vertical="center"/>
      <protection locked="0"/>
    </xf>
    <xf numFmtId="0" fontId="4" fillId="0" borderId="30" xfId="0" applyFont="1" applyBorder="1" applyAlignment="1" applyProtection="1">
      <alignment horizontal="center" vertical="center"/>
      <protection locked="0"/>
    </xf>
    <xf numFmtId="0" fontId="4" fillId="0" borderId="62" xfId="0" applyFont="1" applyBorder="1" applyAlignment="1" applyProtection="1">
      <alignment horizontal="center" vertical="center"/>
      <protection locked="0"/>
    </xf>
    <xf numFmtId="0" fontId="4" fillId="0" borderId="65" xfId="0" applyFont="1" applyBorder="1" applyAlignment="1" applyProtection="1">
      <alignment horizontal="center" vertical="center"/>
      <protection locked="0"/>
    </xf>
    <xf numFmtId="0" fontId="4" fillId="0" borderId="64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0" fillId="0" borderId="8" xfId="0" applyFont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164" fontId="1" fillId="0" borderId="8" xfId="0" applyNumberFormat="1" applyFont="1" applyBorder="1" applyAlignment="1" applyProtection="1">
      <alignment horizontal="center"/>
      <protection locked="0"/>
    </xf>
    <xf numFmtId="164" fontId="1" fillId="2" borderId="7" xfId="0" applyNumberFormat="1" applyFont="1" applyFill="1" applyBorder="1" applyAlignment="1" applyProtection="1">
      <alignment horizontal="center"/>
      <protection locked="0"/>
    </xf>
    <xf numFmtId="164" fontId="1" fillId="0" borderId="7" xfId="0" applyNumberFormat="1" applyFont="1" applyBorder="1" applyAlignment="1" applyProtection="1">
      <alignment horizontal="center"/>
      <protection locked="0"/>
    </xf>
    <xf numFmtId="0" fontId="0" fillId="0" borderId="11" xfId="0" applyFont="1" applyBorder="1" applyAlignment="1"/>
    <xf numFmtId="10" fontId="0" fillId="0" borderId="110" xfId="1" applyNumberFormat="1" applyFont="1" applyBorder="1" applyAlignment="1">
      <alignment horizontal="right" wrapText="1"/>
    </xf>
    <xf numFmtId="10" fontId="0" fillId="0" borderId="1" xfId="1" applyNumberFormat="1" applyFont="1" applyBorder="1" applyAlignment="1">
      <alignment horizontal="right" wrapText="1"/>
    </xf>
    <xf numFmtId="2" fontId="0" fillId="0" borderId="111" xfId="0" applyNumberFormat="1" applyBorder="1" applyAlignment="1">
      <alignment horizontal="right" wrapText="1"/>
    </xf>
    <xf numFmtId="2" fontId="0" fillId="0" borderId="11" xfId="0" applyNumberFormat="1" applyBorder="1" applyAlignment="1">
      <alignment horizontal="right" wrapText="1"/>
    </xf>
    <xf numFmtId="0" fontId="0" fillId="0" borderId="59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44" fontId="0" fillId="0" borderId="60" xfId="0" applyNumberFormat="1" applyBorder="1" applyAlignment="1">
      <alignment horizontal="right" vertical="center"/>
    </xf>
    <xf numFmtId="44" fontId="0" fillId="0" borderId="48" xfId="0" applyNumberFormat="1" applyBorder="1" applyAlignment="1">
      <alignment horizontal="right" vertical="center"/>
    </xf>
    <xf numFmtId="44" fontId="0" fillId="0" borderId="64" xfId="0" applyNumberFormat="1" applyBorder="1" applyAlignment="1">
      <alignment horizontal="right" vertical="center"/>
    </xf>
    <xf numFmtId="44" fontId="0" fillId="0" borderId="66" xfId="0" applyNumberFormat="1" applyBorder="1" applyAlignment="1">
      <alignment horizontal="right" vertical="center"/>
    </xf>
    <xf numFmtId="44" fontId="2" fillId="0" borderId="60" xfId="0" applyNumberFormat="1" applyFont="1" applyBorder="1" applyAlignment="1">
      <alignment horizontal="right" vertical="center"/>
    </xf>
    <xf numFmtId="44" fontId="2" fillId="0" borderId="64" xfId="0" applyNumberFormat="1" applyFont="1" applyBorder="1" applyAlignment="1">
      <alignment horizontal="right" vertical="center"/>
    </xf>
    <xf numFmtId="44" fontId="2" fillId="0" borderId="60" xfId="0" applyNumberFormat="1" applyFont="1" applyFill="1" applyBorder="1" applyAlignment="1">
      <alignment horizontal="right" vertical="center"/>
    </xf>
    <xf numFmtId="44" fontId="2" fillId="0" borderId="64" xfId="0" applyNumberFormat="1" applyFont="1" applyFill="1" applyBorder="1" applyAlignment="1">
      <alignment horizontal="right" vertical="center"/>
    </xf>
    <xf numFmtId="0" fontId="0" fillId="0" borderId="0" xfId="0" applyFill="1" applyBorder="1" applyAlignment="1">
      <alignment vertical="center"/>
    </xf>
    <xf numFmtId="0" fontId="0" fillId="0" borderId="11" xfId="0" applyBorder="1" applyAlignment="1">
      <alignment horizontal="center" wrapText="1"/>
    </xf>
    <xf numFmtId="0" fontId="0" fillId="0" borderId="10" xfId="0" applyBorder="1" applyAlignment="1">
      <alignment horizontal="center"/>
    </xf>
    <xf numFmtId="169" fontId="1" fillId="2" borderId="8" xfId="0" applyNumberFormat="1" applyFont="1" applyFill="1" applyBorder="1" applyProtection="1">
      <protection locked="0"/>
    </xf>
    <xf numFmtId="169" fontId="1" fillId="0" borderId="7" xfId="0" applyNumberFormat="1" applyFont="1" applyBorder="1" applyProtection="1">
      <protection locked="0"/>
    </xf>
    <xf numFmtId="169" fontId="1" fillId="2" borderId="7" xfId="0" applyNumberFormat="1" applyFont="1" applyFill="1" applyBorder="1" applyProtection="1">
      <protection locked="0"/>
    </xf>
    <xf numFmtId="0" fontId="0" fillId="0" borderId="0" xfId="0" applyFill="1"/>
    <xf numFmtId="44" fontId="0" fillId="0" borderId="65" xfId="0" applyNumberFormat="1" applyFill="1" applyBorder="1" applyAlignment="1" applyProtection="1">
      <alignment horizontal="right" vertical="center"/>
    </xf>
    <xf numFmtId="44" fontId="0" fillId="0" borderId="24" xfId="0" applyNumberFormat="1" applyFill="1" applyBorder="1" applyAlignment="1" applyProtection="1">
      <alignment horizontal="right" vertical="center"/>
    </xf>
    <xf numFmtId="1" fontId="0" fillId="0" borderId="0" xfId="0" applyNumberFormat="1"/>
    <xf numFmtId="1" fontId="0" fillId="0" borderId="0" xfId="0" applyNumberFormat="1" applyFill="1"/>
    <xf numFmtId="0" fontId="0" fillId="0" borderId="121" xfId="0" applyFont="1" applyFill="1" applyBorder="1" applyAlignment="1">
      <alignment horizontal="right"/>
    </xf>
    <xf numFmtId="0" fontId="0" fillId="0" borderId="117" xfId="0" applyFont="1" applyFill="1" applyBorder="1" applyAlignment="1">
      <alignment horizontal="right"/>
    </xf>
    <xf numFmtId="0" fontId="0" fillId="0" borderId="119" xfId="0" applyFont="1" applyFill="1" applyBorder="1" applyAlignment="1">
      <alignment horizontal="right"/>
    </xf>
    <xf numFmtId="0" fontId="9" fillId="0" borderId="83" xfId="0" applyFont="1" applyBorder="1" applyAlignment="1">
      <alignment horizontal="center" wrapText="1"/>
    </xf>
    <xf numFmtId="0" fontId="9" fillId="0" borderId="57" xfId="0" applyFont="1" applyBorder="1" applyAlignment="1">
      <alignment horizontal="center" wrapText="1"/>
    </xf>
    <xf numFmtId="0" fontId="9" fillId="0" borderId="116" xfId="0" applyFont="1" applyBorder="1" applyAlignment="1">
      <alignment horizontal="center" wrapText="1"/>
    </xf>
    <xf numFmtId="0" fontId="9" fillId="0" borderId="115" xfId="0" applyFont="1" applyBorder="1" applyAlignment="1">
      <alignment horizontal="center" wrapText="1"/>
    </xf>
    <xf numFmtId="166" fontId="11" fillId="0" borderId="84" xfId="0" applyNumberFormat="1" applyFont="1" applyBorder="1" applyAlignment="1">
      <alignment horizontal="center" vertical="center"/>
    </xf>
    <xf numFmtId="172" fontId="12" fillId="0" borderId="77" xfId="0" applyNumberFormat="1" applyFont="1" applyBorder="1" applyAlignment="1">
      <alignment horizontal="center" vertical="center"/>
    </xf>
    <xf numFmtId="172" fontId="12" fillId="0" borderId="24" xfId="0" applyNumberFormat="1" applyFont="1" applyBorder="1" applyAlignment="1">
      <alignment horizontal="center" vertical="center"/>
    </xf>
    <xf numFmtId="172" fontId="12" fillId="0" borderId="48" xfId="0" applyNumberFormat="1" applyFont="1" applyBorder="1" applyAlignment="1">
      <alignment horizontal="center" vertical="center"/>
    </xf>
    <xf numFmtId="166" fontId="11" fillId="0" borderId="85" xfId="0" applyNumberFormat="1" applyFont="1" applyBorder="1" applyAlignment="1">
      <alignment horizontal="center" vertical="center"/>
    </xf>
    <xf numFmtId="172" fontId="12" fillId="0" borderId="78" xfId="0" applyNumberFormat="1" applyFont="1" applyBorder="1" applyAlignment="1">
      <alignment horizontal="center" vertical="center"/>
    </xf>
    <xf numFmtId="172" fontId="12" fillId="0" borderId="30" xfId="0" applyNumberFormat="1" applyFont="1" applyBorder="1" applyAlignment="1">
      <alignment horizontal="center" vertical="center"/>
    </xf>
    <xf numFmtId="172" fontId="12" fillId="0" borderId="33" xfId="0" applyNumberFormat="1" applyFont="1" applyBorder="1" applyAlignment="1">
      <alignment horizontal="center" vertical="center"/>
    </xf>
    <xf numFmtId="166" fontId="11" fillId="0" borderId="86" xfId="0" applyNumberFormat="1" applyFont="1" applyBorder="1" applyAlignment="1">
      <alignment horizontal="center" vertical="center"/>
    </xf>
    <xf numFmtId="172" fontId="12" fillId="0" borderId="79" xfId="0" applyNumberFormat="1" applyFont="1" applyBorder="1" applyAlignment="1">
      <alignment horizontal="center" vertical="center"/>
    </xf>
    <xf numFmtId="172" fontId="12" fillId="0" borderId="65" xfId="0" applyNumberFormat="1" applyFont="1" applyBorder="1" applyAlignment="1">
      <alignment horizontal="center" vertical="center"/>
    </xf>
    <xf numFmtId="172" fontId="12" fillId="0" borderId="66" xfId="0" applyNumberFormat="1" applyFont="1" applyBorder="1" applyAlignment="1">
      <alignment horizontal="center" vertical="center"/>
    </xf>
    <xf numFmtId="166" fontId="11" fillId="0" borderId="71" xfId="0" applyNumberFormat="1" applyFont="1" applyBorder="1" applyAlignment="1">
      <alignment horizontal="center" vertical="center"/>
    </xf>
    <xf numFmtId="172" fontId="12" fillId="0" borderId="3" xfId="0" applyNumberFormat="1" applyFont="1" applyBorder="1" applyAlignment="1">
      <alignment horizontal="center" vertical="center"/>
    </xf>
    <xf numFmtId="172" fontId="12" fillId="0" borderId="27" xfId="0" applyNumberFormat="1" applyFont="1" applyBorder="1" applyAlignment="1">
      <alignment horizontal="center" vertical="center"/>
    </xf>
    <xf numFmtId="172" fontId="12" fillId="0" borderId="21" xfId="0" applyNumberFormat="1" applyFont="1" applyBorder="1" applyAlignment="1">
      <alignment horizontal="center" vertical="center"/>
    </xf>
    <xf numFmtId="166" fontId="11" fillId="0" borderId="100" xfId="0" applyNumberFormat="1" applyFont="1" applyBorder="1" applyAlignment="1">
      <alignment horizontal="center" vertical="center"/>
    </xf>
    <xf numFmtId="0" fontId="9" fillId="0" borderId="127" xfId="0" applyFont="1" applyBorder="1" applyAlignment="1">
      <alignment horizontal="center" wrapText="1"/>
    </xf>
    <xf numFmtId="0" fontId="4" fillId="0" borderId="77" xfId="0" applyFont="1" applyBorder="1" applyAlignment="1" applyProtection="1">
      <alignment horizontal="center" vertical="center"/>
      <protection locked="0"/>
    </xf>
    <xf numFmtId="0" fontId="4" fillId="0" borderId="89" xfId="0" applyFont="1" applyBorder="1" applyAlignment="1" applyProtection="1">
      <alignment horizontal="center" vertical="center"/>
      <protection locked="0"/>
    </xf>
    <xf numFmtId="0" fontId="4" fillId="0" borderId="51" xfId="0" applyFont="1" applyBorder="1" applyAlignment="1" applyProtection="1">
      <alignment horizontal="center" vertical="center"/>
      <protection locked="0"/>
    </xf>
    <xf numFmtId="0" fontId="4" fillId="0" borderId="91" xfId="0" applyFont="1" applyBorder="1" applyAlignment="1" applyProtection="1">
      <alignment horizontal="center" vertical="center"/>
      <protection locked="0"/>
    </xf>
    <xf numFmtId="0" fontId="4" fillId="0" borderId="79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27" xfId="0" applyFont="1" applyBorder="1" applyAlignment="1" applyProtection="1">
      <alignment horizontal="center" vertical="center"/>
      <protection locked="0"/>
    </xf>
    <xf numFmtId="0" fontId="4" fillId="0" borderId="21" xfId="0" applyFont="1" applyBorder="1" applyAlignment="1" applyProtection="1">
      <alignment horizontal="center" vertical="center"/>
      <protection locked="0"/>
    </xf>
    <xf numFmtId="0" fontId="9" fillId="7" borderId="39" xfId="0" applyFont="1" applyFill="1" applyBorder="1" applyAlignment="1">
      <alignment horizontal="center"/>
    </xf>
    <xf numFmtId="0" fontId="9" fillId="7" borderId="35" xfId="0" applyFont="1" applyFill="1" applyBorder="1" applyAlignment="1">
      <alignment horizontal="center"/>
    </xf>
    <xf numFmtId="0" fontId="9" fillId="7" borderId="43" xfId="0" applyFont="1" applyFill="1" applyBorder="1" applyAlignment="1">
      <alignment horizontal="center"/>
    </xf>
    <xf numFmtId="166" fontId="13" fillId="8" borderId="72" xfId="0" applyNumberFormat="1" applyFont="1" applyFill="1" applyBorder="1" applyAlignment="1">
      <alignment horizontal="center" vertical="center"/>
    </xf>
    <xf numFmtId="0" fontId="12" fillId="0" borderId="77" xfId="0" applyFont="1" applyBorder="1" applyAlignment="1" applyProtection="1">
      <alignment horizontal="center" vertical="center"/>
      <protection locked="0"/>
    </xf>
    <xf numFmtId="0" fontId="12" fillId="0" borderId="24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166" fontId="13" fillId="8" borderId="88" xfId="0" applyNumberFormat="1" applyFont="1" applyFill="1" applyBorder="1" applyAlignment="1">
      <alignment horizontal="center" vertical="center"/>
    </xf>
    <xf numFmtId="0" fontId="12" fillId="0" borderId="89" xfId="0" applyFont="1" applyBorder="1" applyAlignment="1" applyProtection="1">
      <alignment horizontal="center" vertical="center"/>
      <protection locked="0"/>
    </xf>
    <xf numFmtId="0" fontId="12" fillId="0" borderId="51" xfId="0" applyFont="1" applyBorder="1" applyAlignment="1" applyProtection="1">
      <alignment horizontal="center" vertical="center"/>
      <protection locked="0"/>
    </xf>
    <xf numFmtId="0" fontId="12" fillId="0" borderId="91" xfId="0" applyFont="1" applyBorder="1" applyAlignment="1" applyProtection="1">
      <alignment horizontal="center" vertical="center"/>
      <protection locked="0"/>
    </xf>
    <xf numFmtId="166" fontId="13" fillId="8" borderId="73" xfId="0" applyNumberFormat="1" applyFont="1" applyFill="1" applyBorder="1" applyAlignment="1">
      <alignment horizontal="center" vertical="center"/>
    </xf>
    <xf numFmtId="0" fontId="12" fillId="0" borderId="79" xfId="0" applyFont="1" applyBorder="1" applyAlignment="1" applyProtection="1">
      <alignment horizontal="center" vertical="center"/>
      <protection locked="0"/>
    </xf>
    <xf numFmtId="0" fontId="12" fillId="0" borderId="65" xfId="0" applyFont="1" applyBorder="1" applyAlignment="1" applyProtection="1">
      <alignment horizontal="center" vertical="center"/>
      <protection locked="0"/>
    </xf>
    <xf numFmtId="0" fontId="12" fillId="0" borderId="66" xfId="0" applyFont="1" applyBorder="1" applyAlignment="1" applyProtection="1">
      <alignment horizontal="center" vertical="center"/>
      <protection locked="0"/>
    </xf>
    <xf numFmtId="166" fontId="13" fillId="8" borderId="36" xfId="0" applyNumberFormat="1" applyFont="1" applyFill="1" applyBorder="1" applyAlignment="1">
      <alignment horizontal="center" vertical="center"/>
    </xf>
    <xf numFmtId="0" fontId="12" fillId="0" borderId="3" xfId="0" applyFont="1" applyBorder="1" applyAlignment="1" applyProtection="1">
      <alignment horizontal="center" vertical="center"/>
      <protection locked="0"/>
    </xf>
    <xf numFmtId="0" fontId="12" fillId="0" borderId="27" xfId="0" applyFont="1" applyBorder="1" applyAlignment="1" applyProtection="1">
      <alignment horizontal="center" vertical="center"/>
      <protection locked="0"/>
    </xf>
    <xf numFmtId="0" fontId="12" fillId="0" borderId="21" xfId="0" applyFont="1" applyBorder="1" applyAlignment="1" applyProtection="1">
      <alignment horizontal="center" vertical="center"/>
      <protection locked="0"/>
    </xf>
    <xf numFmtId="166" fontId="13" fillId="8" borderId="75" xfId="0" applyNumberFormat="1" applyFont="1" applyFill="1" applyBorder="1" applyAlignment="1">
      <alignment horizontal="center" vertical="center"/>
    </xf>
    <xf numFmtId="0" fontId="12" fillId="0" borderId="30" xfId="0" applyFont="1" applyBorder="1" applyAlignment="1" applyProtection="1">
      <alignment horizontal="center" vertical="center"/>
      <protection locked="0"/>
    </xf>
    <xf numFmtId="166" fontId="13" fillId="8" borderId="74" xfId="0" applyNumberFormat="1" applyFont="1" applyFill="1" applyBorder="1" applyAlignment="1">
      <alignment horizontal="center" vertical="center"/>
    </xf>
    <xf numFmtId="0" fontId="10" fillId="0" borderId="0" xfId="0" applyFont="1"/>
    <xf numFmtId="0" fontId="10" fillId="0" borderId="36" xfId="0" applyFont="1" applyBorder="1" applyAlignment="1">
      <alignment wrapText="1"/>
    </xf>
    <xf numFmtId="0" fontId="0" fillId="0" borderId="52" xfId="0" applyBorder="1"/>
    <xf numFmtId="0" fontId="4" fillId="0" borderId="48" xfId="0" applyFont="1" applyBorder="1" applyAlignment="1" applyProtection="1">
      <alignment horizontal="center" vertical="center"/>
      <protection locked="0"/>
    </xf>
    <xf numFmtId="0" fontId="4" fillId="0" borderId="78" xfId="0" applyFont="1" applyBorder="1" applyAlignment="1" applyProtection="1">
      <alignment horizontal="center" vertical="center"/>
      <protection locked="0"/>
    </xf>
    <xf numFmtId="0" fontId="4" fillId="0" borderId="33" xfId="0" applyFont="1" applyBorder="1" applyAlignment="1" applyProtection="1">
      <alignment horizontal="center" vertical="center"/>
      <protection locked="0"/>
    </xf>
    <xf numFmtId="0" fontId="4" fillId="0" borderId="66" xfId="0" applyFont="1" applyBorder="1" applyAlignment="1" applyProtection="1">
      <alignment horizontal="center" vertical="center"/>
      <protection locked="0"/>
    </xf>
    <xf numFmtId="2" fontId="0" fillId="9" borderId="24" xfId="0" applyNumberFormat="1" applyFill="1" applyBorder="1" applyAlignment="1">
      <alignment horizontal="center" vertical="center"/>
    </xf>
    <xf numFmtId="166" fontId="3" fillId="0" borderId="30" xfId="0" applyNumberFormat="1" applyFont="1" applyBorder="1" applyAlignment="1">
      <alignment horizontal="center" vertical="center"/>
    </xf>
    <xf numFmtId="2" fontId="0" fillId="0" borderId="17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45" xfId="0" applyNumberFormat="1" applyBorder="1" applyAlignment="1">
      <alignment horizontal="center" vertical="center"/>
    </xf>
    <xf numFmtId="2" fontId="0" fillId="0" borderId="30" xfId="0" applyNumberFormat="1" applyBorder="1" applyAlignment="1">
      <alignment horizontal="center" vertical="center"/>
    </xf>
    <xf numFmtId="2" fontId="0" fillId="9" borderId="30" xfId="0" applyNumberFormat="1" applyFill="1" applyBorder="1" applyAlignment="1">
      <alignment horizontal="center" vertical="center"/>
    </xf>
    <xf numFmtId="166" fontId="3" fillId="0" borderId="26" xfId="0" applyNumberFormat="1" applyFont="1" applyBorder="1" applyAlignment="1">
      <alignment horizontal="center" vertical="center"/>
    </xf>
    <xf numFmtId="2" fontId="0" fillId="0" borderId="40" xfId="0" applyNumberFormat="1" applyBorder="1" applyAlignment="1">
      <alignment horizontal="center" vertical="center"/>
    </xf>
    <xf numFmtId="2" fontId="0" fillId="0" borderId="18" xfId="0" applyNumberFormat="1" applyBorder="1" applyAlignment="1">
      <alignment horizontal="center" vertical="center"/>
    </xf>
    <xf numFmtId="2" fontId="0" fillId="0" borderId="46" xfId="0" applyNumberFormat="1" applyBorder="1" applyAlignment="1">
      <alignment horizontal="center" vertical="center"/>
    </xf>
    <xf numFmtId="2" fontId="0" fillId="0" borderId="26" xfId="0" applyNumberFormat="1" applyBorder="1" applyAlignment="1">
      <alignment horizontal="center" vertical="center"/>
    </xf>
    <xf numFmtId="2" fontId="0" fillId="9" borderId="26" xfId="0" applyNumberFormat="1" applyFill="1" applyBorder="1" applyAlignment="1">
      <alignment horizontal="center" vertical="center"/>
    </xf>
    <xf numFmtId="2" fontId="0" fillId="9" borderId="4" xfId="0" applyNumberForma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2" borderId="6" xfId="0" applyFill="1" applyBorder="1"/>
    <xf numFmtId="0" fontId="0" fillId="0" borderId="7" xfId="0" applyBorder="1"/>
    <xf numFmtId="0" fontId="0" fillId="2" borderId="7" xfId="0" applyFill="1" applyBorder="1"/>
    <xf numFmtId="0" fontId="0" fillId="2" borderId="8" xfId="0" applyFill="1" applyBorder="1" applyAlignment="1">
      <alignment horizontal="right"/>
    </xf>
    <xf numFmtId="0" fontId="0" fillId="0" borderId="7" xfId="0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2" borderId="8" xfId="0" applyFill="1" applyBorder="1"/>
    <xf numFmtId="0" fontId="0" fillId="0" borderId="129" xfId="0" applyBorder="1" applyAlignment="1">
      <alignment horizontal="center"/>
    </xf>
    <xf numFmtId="0" fontId="0" fillId="2" borderId="6" xfId="0" applyFill="1" applyBorder="1" applyAlignment="1">
      <alignment horizontal="right"/>
    </xf>
    <xf numFmtId="171" fontId="1" fillId="2" borderId="6" xfId="0" applyNumberFormat="1" applyFont="1" applyFill="1" applyBorder="1" applyProtection="1">
      <protection locked="0"/>
    </xf>
    <xf numFmtId="171" fontId="1" fillId="0" borderId="7" xfId="0" applyNumberFormat="1" applyFont="1" applyBorder="1" applyProtection="1">
      <protection locked="0"/>
    </xf>
    <xf numFmtId="171" fontId="1" fillId="2" borderId="7" xfId="0" applyNumberFormat="1" applyFont="1" applyFill="1" applyBorder="1" applyProtection="1">
      <protection locked="0"/>
    </xf>
    <xf numFmtId="0" fontId="9" fillId="0" borderId="130" xfId="0" applyFont="1" applyBorder="1" applyAlignment="1">
      <alignment horizontal="center" wrapText="1"/>
    </xf>
    <xf numFmtId="0" fontId="2" fillId="5" borderId="54" xfId="0" applyFont="1" applyFill="1" applyBorder="1" applyAlignment="1">
      <alignment horizontal="center" vertical="center"/>
    </xf>
    <xf numFmtId="0" fontId="4" fillId="0" borderId="72" xfId="0" applyFont="1" applyBorder="1" applyAlignment="1" applyProtection="1">
      <alignment horizontal="center" vertical="center"/>
      <protection locked="0"/>
    </xf>
    <xf numFmtId="0" fontId="4" fillId="0" borderId="73" xfId="0" applyFont="1" applyBorder="1" applyAlignment="1" applyProtection="1">
      <alignment horizontal="center" vertical="center"/>
      <protection locked="0"/>
    </xf>
    <xf numFmtId="0" fontId="4" fillId="0" borderId="74" xfId="0" applyFont="1" applyBorder="1" applyAlignment="1" applyProtection="1">
      <alignment horizontal="center" vertical="center"/>
      <protection locked="0"/>
    </xf>
    <xf numFmtId="0" fontId="2" fillId="0" borderId="2" xfId="0" applyFont="1" applyFill="1" applyBorder="1" applyAlignment="1">
      <alignment horizontal="center" wrapText="1"/>
    </xf>
    <xf numFmtId="0" fontId="2" fillId="0" borderId="27" xfId="0" applyFont="1" applyFill="1" applyBorder="1" applyAlignment="1">
      <alignment horizontal="center" wrapText="1"/>
    </xf>
    <xf numFmtId="0" fontId="2" fillId="0" borderId="58" xfId="0" applyFont="1" applyFill="1" applyBorder="1" applyAlignment="1">
      <alignment horizontal="center" wrapText="1"/>
    </xf>
    <xf numFmtId="10" fontId="0" fillId="0" borderId="110" xfId="1" applyNumberFormat="1" applyFont="1" applyBorder="1" applyAlignment="1">
      <alignment wrapText="1"/>
    </xf>
    <xf numFmtId="2" fontId="0" fillId="0" borderId="111" xfId="0" applyNumberFormat="1" applyBorder="1" applyAlignment="1">
      <alignment wrapText="1"/>
    </xf>
    <xf numFmtId="44" fontId="0" fillId="0" borderId="48" xfId="0" applyNumberFormat="1" applyBorder="1" applyAlignment="1">
      <alignment vertical="center"/>
    </xf>
    <xf numFmtId="44" fontId="0" fillId="0" borderId="66" xfId="0" applyNumberFormat="1" applyBorder="1" applyAlignment="1">
      <alignment vertical="center"/>
    </xf>
    <xf numFmtId="0" fontId="0" fillId="0" borderId="20" xfId="0" applyBorder="1"/>
    <xf numFmtId="0" fontId="0" fillId="0" borderId="109" xfId="0" applyBorder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0" fontId="0" fillId="0" borderId="125" xfId="0" applyBorder="1" applyAlignment="1">
      <alignment horizontal="center" wrapText="1"/>
    </xf>
    <xf numFmtId="1" fontId="10" fillId="0" borderId="24" xfId="0" applyNumberFormat="1" applyFont="1" applyFill="1" applyBorder="1" applyAlignment="1">
      <alignment horizontal="right" vertical="center"/>
    </xf>
    <xf numFmtId="167" fontId="10" fillId="0" borderId="60" xfId="0" applyNumberFormat="1" applyFont="1" applyFill="1" applyBorder="1" applyAlignment="1">
      <alignment horizontal="right" vertical="center"/>
    </xf>
    <xf numFmtId="1" fontId="10" fillId="0" borderId="51" xfId="0" applyNumberFormat="1" applyFont="1" applyFill="1" applyBorder="1" applyAlignment="1">
      <alignment horizontal="right" vertical="center"/>
    </xf>
    <xf numFmtId="167" fontId="10" fillId="0" borderId="90" xfId="0" applyNumberFormat="1" applyFont="1" applyFill="1" applyBorder="1" applyAlignment="1">
      <alignment horizontal="right" vertical="center"/>
    </xf>
    <xf numFmtId="1" fontId="10" fillId="0" borderId="30" xfId="0" applyNumberFormat="1" applyFont="1" applyFill="1" applyBorder="1" applyAlignment="1">
      <alignment horizontal="right" vertical="center"/>
    </xf>
    <xf numFmtId="167" fontId="10" fillId="0" borderId="62" xfId="0" applyNumberFormat="1" applyFont="1" applyFill="1" applyBorder="1" applyAlignment="1">
      <alignment horizontal="right" vertical="center"/>
    </xf>
    <xf numFmtId="1" fontId="10" fillId="0" borderId="27" xfId="0" applyNumberFormat="1" applyFont="1" applyFill="1" applyBorder="1" applyAlignment="1">
      <alignment horizontal="right" vertical="center"/>
    </xf>
    <xf numFmtId="167" fontId="10" fillId="0" borderId="58" xfId="0" applyNumberFormat="1" applyFont="1" applyFill="1" applyBorder="1" applyAlignment="1">
      <alignment horizontal="right" vertical="center"/>
    </xf>
    <xf numFmtId="1" fontId="10" fillId="0" borderId="108" xfId="0" applyNumberFormat="1" applyFont="1" applyFill="1" applyBorder="1" applyAlignment="1">
      <alignment horizontal="right" vertical="center"/>
    </xf>
    <xf numFmtId="167" fontId="10" fillId="0" borderId="63" xfId="0" applyNumberFormat="1" applyFont="1" applyFill="1" applyBorder="1" applyAlignment="1">
      <alignment horizontal="right" vertical="center"/>
    </xf>
    <xf numFmtId="1" fontId="10" fillId="0" borderId="65" xfId="0" applyNumberFormat="1" applyFont="1" applyFill="1" applyBorder="1" applyAlignment="1">
      <alignment horizontal="right" vertical="center"/>
    </xf>
    <xf numFmtId="167" fontId="10" fillId="0" borderId="64" xfId="0" applyNumberFormat="1" applyFont="1" applyFill="1" applyBorder="1" applyAlignment="1">
      <alignment horizontal="right" vertical="center"/>
    </xf>
    <xf numFmtId="167" fontId="0" fillId="0" borderId="13" xfId="0" applyNumberFormat="1" applyFill="1" applyBorder="1" applyAlignment="1">
      <alignment horizontal="right"/>
    </xf>
    <xf numFmtId="167" fontId="0" fillId="0" borderId="128" xfId="0" applyNumberFormat="1" applyFill="1" applyBorder="1" applyAlignment="1">
      <alignment horizontal="right"/>
    </xf>
    <xf numFmtId="167" fontId="0" fillId="0" borderId="14" xfId="0" applyNumberFormat="1" applyFill="1" applyBorder="1" applyAlignment="1">
      <alignment horizontal="right"/>
    </xf>
    <xf numFmtId="2" fontId="0" fillId="0" borderId="13" xfId="0" applyNumberFormat="1" applyFill="1" applyBorder="1" applyAlignment="1">
      <alignment horizontal="right"/>
    </xf>
    <xf numFmtId="2" fontId="0" fillId="0" borderId="14" xfId="0" applyNumberFormat="1" applyFill="1" applyBorder="1" applyAlignment="1">
      <alignment horizontal="right"/>
    </xf>
    <xf numFmtId="2" fontId="0" fillId="0" borderId="128" xfId="0" applyNumberFormat="1" applyFill="1" applyBorder="1" applyAlignment="1">
      <alignment horizontal="right"/>
    </xf>
    <xf numFmtId="2" fontId="2" fillId="5" borderId="55" xfId="0" applyNumberFormat="1" applyFont="1" applyFill="1" applyBorder="1" applyAlignment="1">
      <alignment horizontal="right" vertical="center"/>
    </xf>
    <xf numFmtId="2" fontId="2" fillId="5" borderId="99" xfId="0" applyNumberFormat="1" applyFont="1" applyFill="1" applyBorder="1" applyAlignment="1">
      <alignment horizontal="right" vertical="center"/>
    </xf>
    <xf numFmtId="172" fontId="12" fillId="0" borderId="77" xfId="0" applyNumberFormat="1" applyFont="1" applyBorder="1" applyAlignment="1">
      <alignment horizontal="right" vertical="center"/>
    </xf>
    <xf numFmtId="172" fontId="12" fillId="0" borderId="24" xfId="0" applyNumberFormat="1" applyFont="1" applyBorder="1" applyAlignment="1">
      <alignment horizontal="right" vertical="center"/>
    </xf>
    <xf numFmtId="172" fontId="12" fillId="0" borderId="48" xfId="0" applyNumberFormat="1" applyFont="1" applyBorder="1" applyAlignment="1">
      <alignment horizontal="right" vertical="center"/>
    </xf>
    <xf numFmtId="172" fontId="12" fillId="0" borderId="33" xfId="0" applyNumberFormat="1" applyFont="1" applyBorder="1" applyAlignment="1">
      <alignment horizontal="right" vertical="center"/>
    </xf>
    <xf numFmtId="172" fontId="12" fillId="0" borderId="78" xfId="0" applyNumberFormat="1" applyFont="1" applyBorder="1" applyAlignment="1">
      <alignment horizontal="right" vertical="center"/>
    </xf>
    <xf numFmtId="172" fontId="12" fillId="0" borderId="30" xfId="0" applyNumberFormat="1" applyFont="1" applyBorder="1" applyAlignment="1">
      <alignment horizontal="right" vertical="center"/>
    </xf>
    <xf numFmtId="172" fontId="12" fillId="0" borderId="79" xfId="0" applyNumberFormat="1" applyFont="1" applyBorder="1" applyAlignment="1">
      <alignment horizontal="right" vertical="center"/>
    </xf>
    <xf numFmtId="172" fontId="12" fillId="0" borderId="65" xfId="0" applyNumberFormat="1" applyFont="1" applyBorder="1" applyAlignment="1">
      <alignment horizontal="right" vertical="center"/>
    </xf>
    <xf numFmtId="172" fontId="12" fillId="0" borderId="66" xfId="0" applyNumberFormat="1" applyFont="1" applyBorder="1" applyAlignment="1">
      <alignment horizontal="right" vertical="center"/>
    </xf>
    <xf numFmtId="172" fontId="12" fillId="0" borderId="3" xfId="0" applyNumberFormat="1" applyFont="1" applyBorder="1" applyAlignment="1">
      <alignment horizontal="right" vertical="center"/>
    </xf>
    <xf numFmtId="172" fontId="12" fillId="0" borderId="27" xfId="0" applyNumberFormat="1" applyFont="1" applyBorder="1" applyAlignment="1">
      <alignment horizontal="right" vertical="center"/>
    </xf>
    <xf numFmtId="172" fontId="12" fillId="0" borderId="21" xfId="0" applyNumberFormat="1" applyFont="1" applyBorder="1" applyAlignment="1">
      <alignment horizontal="right" vertical="center"/>
    </xf>
    <xf numFmtId="0" fontId="0" fillId="0" borderId="77" xfId="0" applyFill="1" applyBorder="1" applyAlignment="1">
      <alignment horizontal="right" vertical="center"/>
    </xf>
    <xf numFmtId="2" fontId="0" fillId="0" borderId="72" xfId="0" applyNumberFormat="1" applyFill="1" applyBorder="1" applyAlignment="1">
      <alignment horizontal="right" vertical="center"/>
    </xf>
    <xf numFmtId="0" fontId="0" fillId="0" borderId="60" xfId="0" applyFill="1" applyBorder="1" applyAlignment="1">
      <alignment horizontal="right" vertical="center"/>
    </xf>
    <xf numFmtId="0" fontId="4" fillId="0" borderId="89" xfId="0" applyFont="1" applyFill="1" applyBorder="1" applyAlignment="1">
      <alignment horizontal="right" vertical="center"/>
    </xf>
    <xf numFmtId="2" fontId="0" fillId="0" borderId="88" xfId="0" applyNumberFormat="1" applyFill="1" applyBorder="1" applyAlignment="1">
      <alignment horizontal="right" vertical="center"/>
    </xf>
    <xf numFmtId="0" fontId="0" fillId="0" borderId="90" xfId="0" applyFill="1" applyBorder="1" applyAlignment="1">
      <alignment horizontal="right" vertical="center"/>
    </xf>
    <xf numFmtId="0" fontId="4" fillId="0" borderId="78" xfId="0" applyFont="1" applyFill="1" applyBorder="1" applyAlignment="1">
      <alignment horizontal="right" vertical="center"/>
    </xf>
    <xf numFmtId="2" fontId="0" fillId="0" borderId="73" xfId="0" applyNumberFormat="1" applyFill="1" applyBorder="1" applyAlignment="1">
      <alignment horizontal="right" vertical="center"/>
    </xf>
    <xf numFmtId="0" fontId="0" fillId="0" borderId="62" xfId="0" applyFill="1" applyBorder="1" applyAlignment="1">
      <alignment horizontal="right" vertical="center"/>
    </xf>
    <xf numFmtId="0" fontId="4" fillId="0" borderId="2" xfId="0" applyFont="1" applyFill="1" applyBorder="1" applyAlignment="1">
      <alignment horizontal="right" vertical="center"/>
    </xf>
    <xf numFmtId="2" fontId="0" fillId="0" borderId="36" xfId="0" applyNumberFormat="1" applyFill="1" applyBorder="1" applyAlignment="1">
      <alignment horizontal="right" vertical="center"/>
    </xf>
    <xf numFmtId="0" fontId="0" fillId="0" borderId="58" xfId="0" applyFill="1" applyBorder="1" applyAlignment="1">
      <alignment horizontal="right" vertical="center"/>
    </xf>
    <xf numFmtId="0" fontId="4" fillId="0" borderId="79" xfId="0" applyFont="1" applyFill="1" applyBorder="1" applyAlignment="1">
      <alignment horizontal="right" vertical="center"/>
    </xf>
    <xf numFmtId="2" fontId="0" fillId="0" borderId="74" xfId="0" applyNumberFormat="1" applyFill="1" applyBorder="1" applyAlignment="1">
      <alignment horizontal="right" vertical="center"/>
    </xf>
    <xf numFmtId="0" fontId="0" fillId="0" borderId="64" xfId="0" applyFill="1" applyBorder="1" applyAlignment="1">
      <alignment horizontal="right" vertical="center"/>
    </xf>
    <xf numFmtId="1" fontId="2" fillId="5" borderId="98" xfId="0" applyNumberFormat="1" applyFont="1" applyFill="1" applyBorder="1" applyAlignment="1">
      <alignment horizontal="right" vertical="center"/>
    </xf>
    <xf numFmtId="0" fontId="0" fillId="0" borderId="0" xfId="0" quotePrefix="1"/>
    <xf numFmtId="0" fontId="0" fillId="2" borderId="32" xfId="0" quotePrefix="1" applyFont="1" applyFill="1" applyBorder="1"/>
    <xf numFmtId="172" fontId="0" fillId="0" borderId="14" xfId="0" applyNumberFormat="1" applyFill="1" applyBorder="1" applyAlignment="1">
      <alignment horizontal="right"/>
    </xf>
    <xf numFmtId="172" fontId="0" fillId="0" borderId="128" xfId="0" applyNumberFormat="1" applyFill="1" applyBorder="1" applyAlignment="1">
      <alignment horizontal="right"/>
    </xf>
    <xf numFmtId="172" fontId="2" fillId="5" borderId="98" xfId="0" applyNumberFormat="1" applyFont="1" applyFill="1" applyBorder="1" applyAlignment="1">
      <alignment horizontal="right" vertical="center"/>
    </xf>
    <xf numFmtId="172" fontId="0" fillId="0" borderId="48" xfId="0" applyNumberFormat="1" applyFill="1" applyBorder="1" applyAlignment="1">
      <alignment horizontal="right"/>
    </xf>
    <xf numFmtId="172" fontId="0" fillId="0" borderId="33" xfId="0" applyNumberFormat="1" applyFill="1" applyBorder="1" applyAlignment="1">
      <alignment horizontal="right"/>
    </xf>
    <xf numFmtId="172" fontId="0" fillId="0" borderId="66" xfId="0" applyNumberFormat="1" applyFill="1" applyBorder="1" applyAlignment="1">
      <alignment horizontal="right"/>
    </xf>
    <xf numFmtId="166" fontId="5" fillId="5" borderId="140" xfId="0" applyNumberFormat="1" applyFont="1" applyFill="1" applyBorder="1" applyAlignment="1">
      <alignment horizontal="center" vertical="center"/>
    </xf>
    <xf numFmtId="172" fontId="12" fillId="0" borderId="141" xfId="0" applyNumberFormat="1" applyFont="1" applyBorder="1" applyAlignment="1">
      <alignment horizontal="right" vertical="center"/>
    </xf>
    <xf numFmtId="172" fontId="12" fillId="0" borderId="142" xfId="0" applyNumberFormat="1" applyFont="1" applyBorder="1" applyAlignment="1">
      <alignment horizontal="right" vertical="center"/>
    </xf>
    <xf numFmtId="172" fontId="12" fillId="0" borderId="143" xfId="0" applyNumberFormat="1" applyFont="1" applyBorder="1" applyAlignment="1">
      <alignment horizontal="right" vertical="center"/>
    </xf>
    <xf numFmtId="172" fontId="0" fillId="0" borderId="143" xfId="0" applyNumberFormat="1" applyFill="1" applyBorder="1" applyAlignment="1">
      <alignment horizontal="right"/>
    </xf>
    <xf numFmtId="168" fontId="0" fillId="0" borderId="76" xfId="0" applyNumberFormat="1" applyBorder="1" applyAlignment="1" applyProtection="1">
      <alignment horizontal="right"/>
      <protection locked="0"/>
    </xf>
    <xf numFmtId="168" fontId="0" fillId="0" borderId="28" xfId="0" applyNumberFormat="1" applyBorder="1" applyAlignment="1" applyProtection="1">
      <alignment horizontal="right"/>
      <protection locked="0"/>
    </xf>
    <xf numFmtId="168" fontId="0" fillId="0" borderId="23" xfId="0" applyNumberFormat="1" applyBorder="1" applyAlignment="1" applyProtection="1">
      <alignment horizontal="right"/>
      <protection locked="0"/>
    </xf>
    <xf numFmtId="0" fontId="4" fillId="0" borderId="141" xfId="0" applyFont="1" applyBorder="1" applyAlignment="1" applyProtection="1">
      <alignment horizontal="center" vertical="center"/>
      <protection locked="0"/>
    </xf>
    <xf numFmtId="0" fontId="4" fillId="0" borderId="142" xfId="0" applyFont="1" applyBorder="1" applyAlignment="1" applyProtection="1">
      <alignment horizontal="center" vertical="center"/>
      <protection locked="0"/>
    </xf>
    <xf numFmtId="0" fontId="4" fillId="0" borderId="143" xfId="0" applyFont="1" applyBorder="1" applyAlignment="1" applyProtection="1">
      <alignment horizontal="center" vertical="center"/>
      <protection locked="0"/>
    </xf>
    <xf numFmtId="0" fontId="4" fillId="0" borderId="145" xfId="0" applyFont="1" applyBorder="1" applyAlignment="1" applyProtection="1">
      <alignment horizontal="center" vertical="center"/>
      <protection locked="0"/>
    </xf>
    <xf numFmtId="0" fontId="4" fillId="0" borderId="144" xfId="0" applyFont="1" applyBorder="1" applyAlignment="1" applyProtection="1">
      <alignment horizontal="center" vertical="center"/>
      <protection locked="0"/>
    </xf>
    <xf numFmtId="172" fontId="15" fillId="7" borderId="76" xfId="0" applyNumberFormat="1" applyFont="1" applyFill="1" applyBorder="1" applyAlignment="1">
      <alignment horizontal="right"/>
    </xf>
    <xf numFmtId="172" fontId="15" fillId="7" borderId="28" xfId="0" applyNumberFormat="1" applyFont="1" applyFill="1" applyBorder="1" applyAlignment="1">
      <alignment horizontal="right"/>
    </xf>
    <xf numFmtId="172" fontId="15" fillId="7" borderId="23" xfId="0" applyNumberFormat="1" applyFont="1" applyFill="1" applyBorder="1" applyAlignment="1">
      <alignment horizontal="right"/>
    </xf>
    <xf numFmtId="172" fontId="2" fillId="5" borderId="99" xfId="0" applyNumberFormat="1" applyFont="1" applyFill="1" applyBorder="1" applyAlignment="1">
      <alignment horizontal="right" vertical="center"/>
    </xf>
    <xf numFmtId="172" fontId="0" fillId="0" borderId="60" xfId="0" applyNumberFormat="1" applyFill="1" applyBorder="1" applyAlignment="1">
      <alignment horizontal="right"/>
    </xf>
    <xf numFmtId="172" fontId="0" fillId="0" borderId="62" xfId="0" applyNumberFormat="1" applyFill="1" applyBorder="1" applyAlignment="1">
      <alignment horizontal="right"/>
    </xf>
    <xf numFmtId="172" fontId="0" fillId="0" borderId="64" xfId="0" applyNumberFormat="1" applyFill="1" applyBorder="1" applyAlignment="1">
      <alignment horizontal="right"/>
    </xf>
    <xf numFmtId="172" fontId="0" fillId="0" borderId="144" xfId="0" applyNumberFormat="1" applyFill="1" applyBorder="1" applyAlignment="1">
      <alignment horizontal="right"/>
    </xf>
    <xf numFmtId="172" fontId="2" fillId="5" borderId="55" xfId="0" applyNumberFormat="1" applyFont="1" applyFill="1" applyBorder="1" applyAlignment="1">
      <alignment horizontal="right" vertical="center"/>
    </xf>
    <xf numFmtId="172" fontId="15" fillId="0" borderId="149" xfId="0" applyNumberFormat="1" applyFont="1" applyBorder="1" applyAlignment="1">
      <alignment horizontal="right"/>
    </xf>
    <xf numFmtId="172" fontId="15" fillId="0" borderId="150" xfId="0" applyNumberFormat="1" applyFont="1" applyBorder="1" applyAlignment="1">
      <alignment horizontal="right"/>
    </xf>
    <xf numFmtId="172" fontId="15" fillId="0" borderId="151" xfId="0" applyNumberFormat="1" applyFont="1" applyBorder="1" applyAlignment="1">
      <alignment horizontal="right"/>
    </xf>
    <xf numFmtId="172" fontId="10" fillId="7" borderId="80" xfId="0" applyNumberFormat="1" applyFont="1" applyFill="1" applyBorder="1" applyAlignment="1">
      <alignment horizontal="right"/>
    </xf>
    <xf numFmtId="172" fontId="10" fillId="7" borderId="155" xfId="0" applyNumberFormat="1" applyFont="1" applyFill="1" applyBorder="1" applyAlignment="1">
      <alignment horizontal="right"/>
    </xf>
    <xf numFmtId="172" fontId="12" fillId="7" borderId="155" xfId="0" applyNumberFormat="1" applyFont="1" applyFill="1" applyBorder="1" applyAlignment="1">
      <alignment horizontal="right"/>
    </xf>
    <xf numFmtId="172" fontId="10" fillId="7" borderId="131" xfId="0" applyNumberFormat="1" applyFont="1" applyFill="1" applyBorder="1" applyAlignment="1">
      <alignment horizontal="right"/>
    </xf>
    <xf numFmtId="172" fontId="12" fillId="0" borderId="91" xfId="0" applyNumberFormat="1" applyFont="1" applyBorder="1" applyAlignment="1">
      <alignment horizontal="right" vertical="center"/>
    </xf>
    <xf numFmtId="172" fontId="2" fillId="0" borderId="151" xfId="0" applyNumberFormat="1" applyFont="1" applyFill="1" applyBorder="1" applyAlignment="1">
      <alignment horizontal="right"/>
    </xf>
    <xf numFmtId="172" fontId="2" fillId="0" borderId="152" xfId="0" applyNumberFormat="1" applyFont="1" applyFill="1" applyBorder="1" applyAlignment="1">
      <alignment horizontal="right"/>
    </xf>
    <xf numFmtId="172" fontId="0" fillId="0" borderId="131" xfId="0" applyNumberFormat="1" applyFill="1" applyBorder="1" applyAlignment="1">
      <alignment horizontal="right"/>
    </xf>
    <xf numFmtId="172" fontId="0" fillId="0" borderId="70" xfId="0" applyNumberFormat="1" applyFill="1" applyBorder="1" applyAlignment="1">
      <alignment horizontal="right"/>
    </xf>
    <xf numFmtId="172" fontId="0" fillId="0" borderId="111" xfId="0" applyNumberFormat="1" applyFill="1" applyBorder="1" applyAlignment="1">
      <alignment horizontal="right"/>
    </xf>
    <xf numFmtId="172" fontId="0" fillId="0" borderId="11" xfId="0" applyNumberFormat="1" applyFill="1" applyBorder="1" applyAlignment="1">
      <alignment horizontal="right"/>
    </xf>
    <xf numFmtId="0" fontId="0" fillId="0" borderId="68" xfId="0" applyFont="1" applyFill="1" applyBorder="1" applyAlignment="1">
      <alignment horizontal="right"/>
    </xf>
    <xf numFmtId="0" fontId="0" fillId="0" borderId="12" xfId="0" applyBorder="1"/>
    <xf numFmtId="170" fontId="0" fillId="0" borderId="156" xfId="0" applyNumberFormat="1" applyFont="1" applyFill="1" applyBorder="1" applyAlignment="1">
      <alignment horizontal="right"/>
    </xf>
    <xf numFmtId="170" fontId="0" fillId="0" borderId="157" xfId="0" applyNumberFormat="1" applyFont="1" applyFill="1" applyBorder="1" applyAlignment="1">
      <alignment horizontal="right"/>
    </xf>
    <xf numFmtId="172" fontId="0" fillId="0" borderId="0" xfId="0" applyNumberFormat="1" applyBorder="1"/>
    <xf numFmtId="170" fontId="0" fillId="0" borderId="136" xfId="0" applyNumberFormat="1" applyFont="1" applyFill="1" applyBorder="1" applyAlignment="1">
      <alignment horizontal="right"/>
    </xf>
    <xf numFmtId="0" fontId="0" fillId="0" borderId="0" xfId="0" applyFont="1" applyFill="1" applyBorder="1" applyAlignment="1">
      <alignment horizontal="right"/>
    </xf>
    <xf numFmtId="0" fontId="0" fillId="0" borderId="68" xfId="0" quotePrefix="1" applyFont="1" applyFill="1" applyBorder="1" applyAlignment="1">
      <alignment horizontal="right"/>
    </xf>
    <xf numFmtId="1" fontId="0" fillId="0" borderId="136" xfId="0" applyNumberFormat="1" applyFont="1" applyFill="1" applyBorder="1" applyAlignment="1">
      <alignment horizontal="right"/>
    </xf>
    <xf numFmtId="1" fontId="0" fillId="0" borderId="156" xfId="0" applyNumberFormat="1" applyFont="1" applyFill="1" applyBorder="1" applyAlignment="1">
      <alignment horizontal="right"/>
    </xf>
    <xf numFmtId="1" fontId="0" fillId="0" borderId="157" xfId="0" applyNumberFormat="1" applyFont="1" applyFill="1" applyBorder="1" applyAlignment="1">
      <alignment horizontal="right"/>
    </xf>
    <xf numFmtId="0" fontId="0" fillId="0" borderId="126" xfId="0" applyFont="1" applyFill="1" applyBorder="1" applyAlignment="1">
      <alignment horizontal="center" wrapText="1"/>
    </xf>
    <xf numFmtId="1" fontId="0" fillId="0" borderId="121" xfId="0" applyNumberFormat="1" applyFont="1" applyFill="1" applyBorder="1" applyAlignment="1">
      <alignment horizontal="right"/>
    </xf>
    <xf numFmtId="1" fontId="0" fillId="0" borderId="117" xfId="0" applyNumberFormat="1" applyFont="1" applyFill="1" applyBorder="1" applyAlignment="1">
      <alignment horizontal="right"/>
    </xf>
    <xf numFmtId="1" fontId="0" fillId="0" borderId="68" xfId="0" applyNumberFormat="1" applyFont="1" applyFill="1" applyBorder="1" applyAlignment="1">
      <alignment horizontal="right"/>
    </xf>
    <xf numFmtId="1" fontId="0" fillId="0" borderId="119" xfId="0" applyNumberFormat="1" applyFont="1" applyFill="1" applyBorder="1" applyAlignment="1">
      <alignment horizontal="right"/>
    </xf>
    <xf numFmtId="0" fontId="9" fillId="0" borderId="39" xfId="0" applyFont="1" applyBorder="1" applyAlignment="1">
      <alignment horizontal="center" wrapText="1"/>
    </xf>
    <xf numFmtId="0" fontId="9" fillId="0" borderId="43" xfId="0" applyFont="1" applyBorder="1" applyAlignment="1">
      <alignment horizontal="center" wrapText="1"/>
    </xf>
    <xf numFmtId="0" fontId="2" fillId="0" borderId="158" xfId="0" applyFont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2" fillId="0" borderId="35" xfId="0" applyFont="1" applyBorder="1" applyAlignment="1">
      <alignment horizontal="center" wrapText="1"/>
    </xf>
    <xf numFmtId="0" fontId="2" fillId="0" borderId="43" xfId="0" applyFont="1" applyBorder="1" applyAlignment="1">
      <alignment horizontal="center" wrapText="1"/>
    </xf>
    <xf numFmtId="0" fontId="2" fillId="0" borderId="39" xfId="0" applyFont="1" applyBorder="1" applyAlignment="1">
      <alignment horizontal="center"/>
    </xf>
    <xf numFmtId="0" fontId="2" fillId="0" borderId="159" xfId="0" applyFont="1" applyBorder="1" applyAlignment="1">
      <alignment horizontal="center"/>
    </xf>
    <xf numFmtId="0" fontId="2" fillId="0" borderId="160" xfId="0" applyFont="1" applyBorder="1" applyAlignment="1">
      <alignment horizontal="center" wrapText="1"/>
    </xf>
    <xf numFmtId="0" fontId="2" fillId="0" borderId="161" xfId="0" applyFont="1" applyBorder="1" applyAlignment="1">
      <alignment horizontal="center"/>
    </xf>
    <xf numFmtId="172" fontId="12" fillId="12" borderId="61" xfId="0" applyNumberFormat="1" applyFont="1" applyFill="1" applyBorder="1" applyAlignment="1">
      <alignment horizontal="center" vertical="center"/>
    </xf>
    <xf numFmtId="172" fontId="12" fillId="12" borderId="90" xfId="0" applyNumberFormat="1" applyFont="1" applyFill="1" applyBorder="1" applyAlignment="1">
      <alignment horizontal="center" vertical="center"/>
    </xf>
    <xf numFmtId="172" fontId="12" fillId="12" borderId="62" xfId="0" applyNumberFormat="1" applyFont="1" applyFill="1" applyBorder="1" applyAlignment="1">
      <alignment horizontal="center" vertical="center"/>
    </xf>
    <xf numFmtId="172" fontId="12" fillId="12" borderId="67" xfId="0" applyNumberFormat="1" applyFont="1" applyFill="1" applyBorder="1" applyAlignment="1">
      <alignment horizontal="center" vertical="center"/>
    </xf>
    <xf numFmtId="172" fontId="12" fillId="12" borderId="64" xfId="0" applyNumberFormat="1" applyFont="1" applyFill="1" applyBorder="1" applyAlignment="1">
      <alignment horizontal="center" vertical="center"/>
    </xf>
    <xf numFmtId="172" fontId="12" fillId="12" borderId="59" xfId="0" applyNumberFormat="1" applyFont="1" applyFill="1" applyBorder="1" applyAlignment="1">
      <alignment horizontal="center" vertical="center"/>
    </xf>
    <xf numFmtId="172" fontId="12" fillId="12" borderId="60" xfId="0" applyNumberFormat="1" applyFont="1" applyFill="1" applyBorder="1" applyAlignment="1">
      <alignment horizontal="center" vertical="center"/>
    </xf>
    <xf numFmtId="173" fontId="15" fillId="0" borderId="150" xfId="0" applyNumberFormat="1" applyFont="1" applyBorder="1" applyAlignment="1">
      <alignment horizontal="right"/>
    </xf>
    <xf numFmtId="2" fontId="12" fillId="0" borderId="66" xfId="0" applyNumberFormat="1" applyFont="1" applyBorder="1" applyAlignment="1" applyProtection="1">
      <alignment horizontal="center" vertical="center"/>
      <protection locked="0"/>
    </xf>
    <xf numFmtId="168" fontId="0" fillId="0" borderId="121" xfId="0" applyNumberFormat="1" applyFont="1" applyFill="1" applyBorder="1" applyAlignment="1">
      <alignment horizontal="right"/>
    </xf>
    <xf numFmtId="172" fontId="0" fillId="0" borderId="123" xfId="0" applyNumberFormat="1" applyBorder="1"/>
    <xf numFmtId="171" fontId="4" fillId="0" borderId="122" xfId="0" applyNumberFormat="1" applyFont="1" applyFill="1" applyBorder="1" applyAlignment="1" applyProtection="1">
      <alignment horizontal="right"/>
      <protection locked="0"/>
    </xf>
    <xf numFmtId="171" fontId="4" fillId="0" borderId="118" xfId="0" applyNumberFormat="1" applyFont="1" applyFill="1" applyBorder="1" applyAlignment="1" applyProtection="1">
      <alignment horizontal="right"/>
      <protection locked="0"/>
    </xf>
    <xf numFmtId="171" fontId="4" fillId="0" borderId="120" xfId="0" applyNumberFormat="1" applyFont="1" applyFill="1" applyBorder="1" applyAlignment="1" applyProtection="1">
      <alignment horizontal="right"/>
      <protection locked="0"/>
    </xf>
    <xf numFmtId="168" fontId="0" fillId="0" borderId="136" xfId="0" applyNumberFormat="1" applyFont="1" applyFill="1" applyBorder="1" applyAlignment="1">
      <alignment horizontal="right"/>
    </xf>
    <xf numFmtId="168" fontId="0" fillId="0" borderId="0" xfId="0" applyNumberFormat="1" applyFont="1" applyFill="1" applyBorder="1" applyAlignment="1">
      <alignment horizontal="right"/>
    </xf>
    <xf numFmtId="168" fontId="0" fillId="0" borderId="68" xfId="0" applyNumberFormat="1" applyFont="1" applyFill="1" applyBorder="1" applyAlignment="1">
      <alignment horizontal="right"/>
    </xf>
    <xf numFmtId="174" fontId="0" fillId="0" borderId="121" xfId="0" applyNumberFormat="1" applyFont="1" applyFill="1" applyBorder="1" applyAlignment="1">
      <alignment horizontal="right"/>
    </xf>
    <xf numFmtId="174" fontId="0" fillId="0" borderId="117" xfId="0" applyNumberFormat="1" applyFont="1" applyFill="1" applyBorder="1" applyAlignment="1">
      <alignment horizontal="right"/>
    </xf>
    <xf numFmtId="174" fontId="4" fillId="0" borderId="118" xfId="0" applyNumberFormat="1" applyFont="1" applyFill="1" applyBorder="1" applyAlignment="1" applyProtection="1">
      <alignment horizontal="right"/>
    </xf>
    <xf numFmtId="174" fontId="0" fillId="0" borderId="119" xfId="0" applyNumberFormat="1" applyFont="1" applyFill="1" applyBorder="1" applyAlignment="1">
      <alignment horizontal="right"/>
    </xf>
    <xf numFmtId="174" fontId="4" fillId="0" borderId="120" xfId="0" applyNumberFormat="1" applyFont="1" applyFill="1" applyBorder="1" applyAlignment="1" applyProtection="1">
      <alignment horizontal="right"/>
    </xf>
    <xf numFmtId="1" fontId="0" fillId="0" borderId="0" xfId="0" applyNumberFormat="1" applyBorder="1" applyAlignment="1">
      <alignment wrapText="1"/>
    </xf>
    <xf numFmtId="167" fontId="0" fillId="10" borderId="20" xfId="0" applyNumberFormat="1" applyFill="1" applyBorder="1" applyAlignment="1"/>
    <xf numFmtId="167" fontId="0" fillId="10" borderId="52" xfId="0" applyNumberFormat="1" applyFill="1" applyBorder="1" applyAlignment="1"/>
    <xf numFmtId="167" fontId="0" fillId="10" borderId="164" xfId="0" applyNumberFormat="1" applyFill="1" applyBorder="1" applyAlignment="1"/>
    <xf numFmtId="167" fontId="0" fillId="10" borderId="165" xfId="0" applyNumberFormat="1" applyFill="1" applyBorder="1" applyAlignment="1"/>
    <xf numFmtId="167" fontId="0" fillId="10" borderId="3" xfId="0" applyNumberFormat="1" applyFill="1" applyBorder="1" applyAlignment="1"/>
    <xf numFmtId="2" fontId="2" fillId="5" borderId="106" xfId="0" applyNumberFormat="1" applyFont="1" applyFill="1" applyBorder="1" applyAlignment="1">
      <alignment horizontal="center" vertical="center"/>
    </xf>
    <xf numFmtId="174" fontId="0" fillId="0" borderId="68" xfId="0" applyNumberFormat="1" applyFont="1" applyFill="1" applyBorder="1" applyAlignment="1">
      <alignment horizontal="right"/>
    </xf>
    <xf numFmtId="174" fontId="0" fillId="0" borderId="155" xfId="0" applyNumberFormat="1" applyFont="1" applyFill="1" applyBorder="1" applyAlignment="1">
      <alignment horizontal="right"/>
    </xf>
    <xf numFmtId="174" fontId="0" fillId="0" borderId="0" xfId="0" applyNumberFormat="1" applyFont="1" applyFill="1" applyBorder="1" applyAlignment="1">
      <alignment horizontal="right"/>
    </xf>
    <xf numFmtId="174" fontId="0" fillId="0" borderId="133" xfId="0" applyNumberFormat="1" applyFont="1" applyFill="1" applyBorder="1" applyAlignment="1">
      <alignment horizontal="right"/>
    </xf>
    <xf numFmtId="167" fontId="10" fillId="0" borderId="24" xfId="0" applyNumberFormat="1" applyFont="1" applyFill="1" applyBorder="1" applyAlignment="1">
      <alignment horizontal="right" vertical="center"/>
    </xf>
    <xf numFmtId="167" fontId="10" fillId="0" borderId="51" xfId="0" applyNumberFormat="1" applyFont="1" applyFill="1" applyBorder="1" applyAlignment="1">
      <alignment horizontal="right" vertical="center"/>
    </xf>
    <xf numFmtId="167" fontId="10" fillId="0" borderId="30" xfId="0" applyNumberFormat="1" applyFont="1" applyFill="1" applyBorder="1" applyAlignment="1">
      <alignment horizontal="right" vertical="center"/>
    </xf>
    <xf numFmtId="167" fontId="10" fillId="0" borderId="27" xfId="0" applyNumberFormat="1" applyFont="1" applyFill="1" applyBorder="1" applyAlignment="1">
      <alignment horizontal="right" vertical="center"/>
    </xf>
    <xf numFmtId="167" fontId="10" fillId="0" borderId="108" xfId="0" applyNumberFormat="1" applyFont="1" applyFill="1" applyBorder="1" applyAlignment="1">
      <alignment horizontal="right" vertical="center"/>
    </xf>
    <xf numFmtId="167" fontId="10" fillId="0" borderId="65" xfId="0" applyNumberFormat="1" applyFont="1" applyFill="1" applyBorder="1" applyAlignment="1">
      <alignment horizontal="right" vertical="center"/>
    </xf>
    <xf numFmtId="167" fontId="9" fillId="5" borderId="98" xfId="0" applyNumberFormat="1" applyFont="1" applyFill="1" applyBorder="1" applyAlignment="1">
      <alignment horizontal="right" vertical="center"/>
    </xf>
    <xf numFmtId="0" fontId="2" fillId="0" borderId="21" xfId="0" applyFont="1" applyFill="1" applyBorder="1" applyAlignment="1">
      <alignment horizontal="center" wrapText="1"/>
    </xf>
    <xf numFmtId="44" fontId="0" fillId="0" borderId="48" xfId="0" applyNumberFormat="1" applyFill="1" applyBorder="1" applyAlignment="1" applyProtection="1">
      <alignment horizontal="right" vertical="center"/>
      <protection locked="0"/>
    </xf>
    <xf numFmtId="44" fontId="0" fillId="0" borderId="66" xfId="0" applyNumberFormat="1" applyFill="1" applyBorder="1" applyAlignment="1" applyProtection="1">
      <alignment horizontal="right" vertical="center"/>
      <protection locked="0"/>
    </xf>
    <xf numFmtId="167" fontId="10" fillId="0" borderId="77" xfId="0" applyNumberFormat="1" applyFont="1" applyFill="1" applyBorder="1" applyAlignment="1">
      <alignment horizontal="right" vertical="center"/>
    </xf>
    <xf numFmtId="167" fontId="10" fillId="0" borderId="89" xfId="0" applyNumberFormat="1" applyFont="1" applyFill="1" applyBorder="1" applyAlignment="1">
      <alignment horizontal="right" vertical="center"/>
    </xf>
    <xf numFmtId="167" fontId="10" fillId="0" borderId="78" xfId="0" applyNumberFormat="1" applyFont="1" applyFill="1" applyBorder="1" applyAlignment="1">
      <alignment horizontal="right" vertical="center"/>
    </xf>
    <xf numFmtId="167" fontId="10" fillId="0" borderId="2" xfId="0" applyNumberFormat="1" applyFont="1" applyFill="1" applyBorder="1" applyAlignment="1">
      <alignment horizontal="right" vertical="center"/>
    </xf>
    <xf numFmtId="167" fontId="10" fillId="0" borderId="169" xfId="0" applyNumberFormat="1" applyFont="1" applyFill="1" applyBorder="1" applyAlignment="1">
      <alignment horizontal="right" vertical="center"/>
    </xf>
    <xf numFmtId="167" fontId="10" fillId="0" borderId="79" xfId="0" applyNumberFormat="1" applyFont="1" applyFill="1" applyBorder="1" applyAlignment="1">
      <alignment horizontal="right" vertical="center"/>
    </xf>
    <xf numFmtId="0" fontId="9" fillId="5" borderId="54" xfId="0" applyFont="1" applyFill="1" applyBorder="1" applyAlignment="1">
      <alignment horizontal="center" vertical="center"/>
    </xf>
    <xf numFmtId="167" fontId="9" fillId="5" borderId="99" xfId="0" applyNumberFormat="1" applyFont="1" applyFill="1" applyBorder="1" applyAlignment="1">
      <alignment horizontal="right" vertical="center"/>
    </xf>
    <xf numFmtId="167" fontId="10" fillId="0" borderId="100" xfId="0" applyNumberFormat="1" applyFont="1" applyFill="1" applyBorder="1" applyAlignment="1">
      <alignment horizontal="right" vertical="center"/>
    </xf>
    <xf numFmtId="167" fontId="10" fillId="0" borderId="170" xfId="0" applyNumberFormat="1" applyFont="1" applyFill="1" applyBorder="1" applyAlignment="1">
      <alignment horizontal="right" vertical="center"/>
    </xf>
    <xf numFmtId="167" fontId="10" fillId="0" borderId="171" xfId="0" applyNumberFormat="1" applyFont="1" applyFill="1" applyBorder="1" applyAlignment="1">
      <alignment horizontal="right" vertical="center"/>
    </xf>
    <xf numFmtId="167" fontId="10" fillId="0" borderId="81" xfId="0" applyNumberFormat="1" applyFont="1" applyFill="1" applyBorder="1" applyAlignment="1">
      <alignment horizontal="right" vertical="center"/>
    </xf>
    <xf numFmtId="167" fontId="10" fillId="0" borderId="107" xfId="0" applyNumberFormat="1" applyFont="1" applyFill="1" applyBorder="1" applyAlignment="1">
      <alignment horizontal="right" vertical="center"/>
    </xf>
    <xf numFmtId="167" fontId="10" fillId="0" borderId="86" xfId="0" applyNumberFormat="1" applyFont="1" applyFill="1" applyBorder="1" applyAlignment="1">
      <alignment horizontal="right" vertical="center"/>
    </xf>
    <xf numFmtId="167" fontId="9" fillId="5" borderId="123" xfId="0" applyNumberFormat="1" applyFont="1" applyFill="1" applyBorder="1" applyAlignment="1">
      <alignment horizontal="right" vertical="center"/>
    </xf>
    <xf numFmtId="167" fontId="9" fillId="5" borderId="106" xfId="0" applyNumberFormat="1" applyFont="1" applyFill="1" applyBorder="1" applyAlignment="1">
      <alignment horizontal="right" vertical="center"/>
    </xf>
    <xf numFmtId="1" fontId="9" fillId="5" borderId="98" xfId="0" applyNumberFormat="1" applyFont="1" applyFill="1" applyBorder="1" applyAlignment="1">
      <alignment horizontal="right" vertical="center"/>
    </xf>
    <xf numFmtId="172" fontId="0" fillId="12" borderId="128" xfId="0" applyNumberFormat="1" applyFill="1" applyBorder="1" applyAlignment="1">
      <alignment horizontal="right"/>
    </xf>
    <xf numFmtId="172" fontId="0" fillId="12" borderId="14" xfId="0" applyNumberFormat="1" applyFill="1" applyBorder="1" applyAlignment="1">
      <alignment horizontal="right"/>
    </xf>
    <xf numFmtId="172" fontId="0" fillId="12" borderId="150" xfId="0" applyNumberFormat="1" applyFill="1" applyBorder="1" applyAlignment="1">
      <alignment horizontal="right"/>
    </xf>
    <xf numFmtId="0" fontId="0" fillId="0" borderId="20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101" xfId="0" applyFont="1" applyBorder="1" applyAlignment="1">
      <alignment horizontal="right" wrapText="1"/>
    </xf>
    <xf numFmtId="0" fontId="0" fillId="0" borderId="102" xfId="0" applyFont="1" applyBorder="1" applyAlignment="1">
      <alignment horizontal="right" wrapText="1"/>
    </xf>
    <xf numFmtId="0" fontId="0" fillId="0" borderId="103" xfId="0" applyFont="1" applyBorder="1" applyAlignment="1">
      <alignment horizontal="right" wrapText="1"/>
    </xf>
    <xf numFmtId="0" fontId="0" fillId="0" borderId="104" xfId="0" applyFont="1" applyBorder="1" applyAlignment="1">
      <alignment horizontal="right" wrapText="1"/>
    </xf>
    <xf numFmtId="0" fontId="2" fillId="0" borderId="134" xfId="0" applyFont="1" applyBorder="1" applyAlignment="1">
      <alignment horizontal="center" wrapText="1"/>
    </xf>
    <xf numFmtId="0" fontId="2" fillId="0" borderId="113" xfId="0" applyFont="1" applyBorder="1" applyAlignment="1">
      <alignment horizontal="center" wrapText="1"/>
    </xf>
    <xf numFmtId="0" fontId="2" fillId="0" borderId="114" xfId="0" applyFont="1" applyBorder="1" applyAlignment="1">
      <alignment horizontal="center" wrapText="1"/>
    </xf>
    <xf numFmtId="0" fontId="2" fillId="0" borderId="27" xfId="0" applyFont="1" applyFill="1" applyBorder="1" applyAlignment="1">
      <alignment horizontal="center" wrapText="1"/>
    </xf>
    <xf numFmtId="0" fontId="2" fillId="0" borderId="28" xfId="0" applyFont="1" applyFill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0" fontId="2" fillId="0" borderId="76" xfId="0" applyFont="1" applyBorder="1" applyAlignment="1">
      <alignment horizontal="center" wrapText="1"/>
    </xf>
    <xf numFmtId="2" fontId="2" fillId="0" borderId="20" xfId="2" applyNumberFormat="1" applyFont="1" applyBorder="1" applyAlignment="1" applyProtection="1">
      <alignment horizontal="center" vertical="center"/>
      <protection locked="0"/>
    </xf>
    <xf numFmtId="2" fontId="2" fillId="0" borderId="52" xfId="2" applyNumberFormat="1" applyFont="1" applyBorder="1" applyAlignment="1" applyProtection="1">
      <alignment horizontal="center" vertical="center"/>
      <protection locked="0"/>
    </xf>
    <xf numFmtId="2" fontId="2" fillId="0" borderId="22" xfId="2" applyNumberFormat="1" applyFont="1" applyBorder="1" applyAlignment="1" applyProtection="1">
      <alignment horizontal="center" vertical="center"/>
      <protection locked="0"/>
    </xf>
    <xf numFmtId="0" fontId="9" fillId="11" borderId="54" xfId="0" applyFont="1" applyFill="1" applyBorder="1" applyAlignment="1">
      <alignment horizontal="center"/>
    </xf>
    <xf numFmtId="0" fontId="9" fillId="11" borderId="55" xfId="0" applyFont="1" applyFill="1" applyBorder="1" applyAlignment="1">
      <alignment horizontal="center"/>
    </xf>
    <xf numFmtId="0" fontId="2" fillId="0" borderId="58" xfId="0" applyFont="1" applyFill="1" applyBorder="1" applyAlignment="1">
      <alignment horizontal="center" wrapText="1"/>
    </xf>
    <xf numFmtId="0" fontId="2" fillId="0" borderId="29" xfId="0" applyFont="1" applyFill="1" applyBorder="1" applyAlignment="1">
      <alignment horizontal="center" wrapText="1"/>
    </xf>
    <xf numFmtId="0" fontId="2" fillId="0" borderId="20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0" fontId="2" fillId="5" borderId="22" xfId="0" applyFont="1" applyFill="1" applyBorder="1" applyAlignment="1">
      <alignment horizontal="center"/>
    </xf>
    <xf numFmtId="0" fontId="0" fillId="0" borderId="80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139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22" xfId="0" applyFont="1" applyBorder="1" applyAlignment="1">
      <alignment horizontal="center"/>
    </xf>
    <xf numFmtId="0" fontId="2" fillId="0" borderId="121" xfId="0" applyFont="1" applyBorder="1" applyAlignment="1">
      <alignment horizontal="center"/>
    </xf>
    <xf numFmtId="0" fontId="14" fillId="0" borderId="49" xfId="0" applyFont="1" applyBorder="1" applyAlignment="1" applyProtection="1">
      <alignment horizontal="center"/>
      <protection locked="0"/>
    </xf>
    <xf numFmtId="0" fontId="14" fillId="0" borderId="50" xfId="0" applyFont="1" applyBorder="1" applyAlignment="1" applyProtection="1">
      <alignment horizontal="center"/>
      <protection locked="0"/>
    </xf>
    <xf numFmtId="0" fontId="2" fillId="4" borderId="54" xfId="0" applyFont="1" applyFill="1" applyBorder="1" applyAlignment="1">
      <alignment horizontal="center"/>
    </xf>
    <xf numFmtId="0" fontId="2" fillId="4" borderId="55" xfId="0" applyFont="1" applyFill="1" applyBorder="1" applyAlignment="1">
      <alignment horizontal="center"/>
    </xf>
    <xf numFmtId="0" fontId="2" fillId="4" borderId="56" xfId="0" applyFont="1" applyFill="1" applyBorder="1" applyAlignment="1">
      <alignment horizontal="center"/>
    </xf>
    <xf numFmtId="0" fontId="15" fillId="0" borderId="146" xfId="0" applyFont="1" applyBorder="1" applyAlignment="1">
      <alignment horizontal="center"/>
    </xf>
    <xf numFmtId="0" fontId="15" fillId="0" borderId="147" xfId="0" applyFont="1" applyBorder="1" applyAlignment="1">
      <alignment horizontal="center"/>
    </xf>
    <xf numFmtId="0" fontId="15" fillId="0" borderId="148" xfId="0" applyFont="1" applyBorder="1" applyAlignment="1">
      <alignment horizontal="center"/>
    </xf>
    <xf numFmtId="0" fontId="2" fillId="3" borderId="20" xfId="0" applyFont="1" applyFill="1" applyBorder="1" applyAlignment="1">
      <alignment horizontal="center" wrapText="1"/>
    </xf>
    <xf numFmtId="0" fontId="2" fillId="3" borderId="22" xfId="0" applyFont="1" applyFill="1" applyBorder="1" applyAlignment="1">
      <alignment horizontal="center" wrapText="1"/>
    </xf>
    <xf numFmtId="0" fontId="2" fillId="3" borderId="81" xfId="0" applyFont="1" applyFill="1" applyBorder="1" applyAlignment="1">
      <alignment horizontal="center"/>
    </xf>
    <xf numFmtId="0" fontId="2" fillId="3" borderId="8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76" xfId="0" applyFont="1" applyFill="1" applyBorder="1" applyAlignment="1">
      <alignment horizontal="center"/>
    </xf>
    <xf numFmtId="0" fontId="2" fillId="0" borderId="36" xfId="0" applyFont="1" applyFill="1" applyBorder="1" applyAlignment="1">
      <alignment horizontal="center" wrapText="1"/>
    </xf>
    <xf numFmtId="0" fontId="2" fillId="0" borderId="37" xfId="0" applyFont="1" applyFill="1" applyBorder="1" applyAlignment="1">
      <alignment horizontal="center" wrapText="1"/>
    </xf>
    <xf numFmtId="0" fontId="0" fillId="0" borderId="20" xfId="0" applyFont="1" applyBorder="1" applyAlignment="1">
      <alignment horizontal="center" wrapText="1"/>
    </xf>
    <xf numFmtId="0" fontId="0" fillId="0" borderId="49" xfId="0" applyFont="1" applyBorder="1" applyAlignment="1">
      <alignment horizontal="center" wrapText="1"/>
    </xf>
    <xf numFmtId="0" fontId="9" fillId="0" borderId="134" xfId="0" applyFont="1" applyBorder="1" applyAlignment="1">
      <alignment horizontal="center"/>
    </xf>
    <xf numFmtId="0" fontId="9" fillId="0" borderId="113" xfId="0" applyFont="1" applyBorder="1" applyAlignment="1">
      <alignment horizontal="center"/>
    </xf>
    <xf numFmtId="165" fontId="0" fillId="0" borderId="109" xfId="0" applyNumberFormat="1" applyBorder="1" applyAlignment="1" applyProtection="1">
      <alignment horizontal="left"/>
      <protection locked="0"/>
    </xf>
    <xf numFmtId="0" fontId="9" fillId="7" borderId="20" xfId="0" applyFont="1" applyFill="1" applyBorder="1" applyAlignment="1">
      <alignment horizontal="center"/>
    </xf>
    <xf numFmtId="0" fontId="9" fillId="7" borderId="49" xfId="0" applyFont="1" applyFill="1" applyBorder="1" applyAlignment="1">
      <alignment horizontal="center"/>
    </xf>
    <xf numFmtId="0" fontId="9" fillId="7" borderId="22" xfId="0" applyFont="1" applyFill="1" applyBorder="1" applyAlignment="1">
      <alignment horizontal="center"/>
    </xf>
    <xf numFmtId="0" fontId="9" fillId="7" borderId="50" xfId="0" applyFont="1" applyFill="1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0" fillId="0" borderId="87" xfId="0" applyFont="1" applyBorder="1" applyAlignment="1">
      <alignment horizontal="center" vertical="center"/>
    </xf>
    <xf numFmtId="0" fontId="10" fillId="0" borderId="70" xfId="0" applyFont="1" applyBorder="1" applyAlignment="1">
      <alignment horizontal="center" vertical="center"/>
    </xf>
    <xf numFmtId="0" fontId="9" fillId="7" borderId="2" xfId="0" applyFont="1" applyFill="1" applyBorder="1" applyAlignment="1">
      <alignment horizontal="center"/>
    </xf>
    <xf numFmtId="0" fontId="9" fillId="7" borderId="76" xfId="0" applyFont="1" applyFill="1" applyBorder="1" applyAlignment="1">
      <alignment horizontal="center"/>
    </xf>
    <xf numFmtId="0" fontId="9" fillId="0" borderId="58" xfId="0" applyFont="1" applyFill="1" applyBorder="1" applyAlignment="1">
      <alignment horizontal="center" wrapText="1"/>
    </xf>
    <xf numFmtId="0" fontId="9" fillId="0" borderId="29" xfId="0" applyFont="1" applyFill="1" applyBorder="1" applyAlignment="1">
      <alignment horizontal="center" wrapText="1"/>
    </xf>
    <xf numFmtId="0" fontId="9" fillId="0" borderId="2" xfId="0" applyFont="1" applyFill="1" applyBorder="1" applyAlignment="1">
      <alignment horizontal="center" vertical="center" wrapText="1"/>
    </xf>
    <xf numFmtId="0" fontId="9" fillId="0" borderId="76" xfId="0" applyFont="1" applyFill="1" applyBorder="1" applyAlignment="1">
      <alignment horizontal="center" vertical="center" wrapText="1"/>
    </xf>
    <xf numFmtId="0" fontId="9" fillId="7" borderId="21" xfId="0" applyFont="1" applyFill="1" applyBorder="1" applyAlignment="1">
      <alignment horizontal="center"/>
    </xf>
    <xf numFmtId="0" fontId="9" fillId="7" borderId="23" xfId="0" applyFont="1" applyFill="1" applyBorder="1" applyAlignment="1">
      <alignment horizontal="center"/>
    </xf>
    <xf numFmtId="0" fontId="0" fillId="0" borderId="109" xfId="0" applyBorder="1" applyAlignment="1" applyProtection="1">
      <alignment horizontal="left"/>
      <protection locked="0"/>
    </xf>
    <xf numFmtId="0" fontId="10" fillId="0" borderId="20" xfId="0" applyFont="1" applyBorder="1" applyAlignment="1">
      <alignment horizontal="center" vertical="center"/>
    </xf>
    <xf numFmtId="0" fontId="10" fillId="0" borderId="52" xfId="0" applyFont="1" applyBorder="1" applyAlignment="1">
      <alignment horizontal="center" vertical="center"/>
    </xf>
    <xf numFmtId="0" fontId="9" fillId="0" borderId="27" xfId="0" applyFont="1" applyFill="1" applyBorder="1" applyAlignment="1">
      <alignment horizontal="center" vertical="center" wrapText="1"/>
    </xf>
    <xf numFmtId="0" fontId="9" fillId="0" borderId="28" xfId="0" applyFont="1" applyFill="1" applyBorder="1" applyAlignment="1">
      <alignment horizontal="center" vertical="center" wrapText="1"/>
    </xf>
    <xf numFmtId="0" fontId="9" fillId="0" borderId="27" xfId="0" applyFont="1" applyFill="1" applyBorder="1" applyAlignment="1">
      <alignment horizontal="center" wrapText="1"/>
    </xf>
    <xf numFmtId="0" fontId="9" fillId="0" borderId="28" xfId="0" applyFont="1" applyFill="1" applyBorder="1" applyAlignment="1">
      <alignment horizontal="center" wrapText="1"/>
    </xf>
    <xf numFmtId="0" fontId="9" fillId="11" borderId="56" xfId="0" applyFont="1" applyFill="1" applyBorder="1" applyAlignment="1">
      <alignment horizontal="center"/>
    </xf>
    <xf numFmtId="0" fontId="9" fillId="0" borderId="81" xfId="0" applyFont="1" applyFill="1" applyBorder="1" applyAlignment="1">
      <alignment horizontal="center" vertical="center" wrapText="1"/>
    </xf>
    <xf numFmtId="0" fontId="9" fillId="0" borderId="82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textRotation="90"/>
    </xf>
    <xf numFmtId="0" fontId="0" fillId="0" borderId="1" xfId="0" applyBorder="1" applyAlignment="1">
      <alignment horizontal="center" vertical="center"/>
    </xf>
    <xf numFmtId="0" fontId="9" fillId="8" borderId="36" xfId="0" applyFont="1" applyFill="1" applyBorder="1" applyAlignment="1">
      <alignment horizontal="center"/>
    </xf>
    <xf numFmtId="0" fontId="9" fillId="8" borderId="37" xfId="0" applyFont="1" applyFill="1" applyBorder="1" applyAlignment="1">
      <alignment horizontal="center"/>
    </xf>
    <xf numFmtId="0" fontId="9" fillId="7" borderId="38" xfId="0" applyFont="1" applyFill="1" applyBorder="1" applyAlignment="1">
      <alignment horizontal="center"/>
    </xf>
    <xf numFmtId="0" fontId="9" fillId="7" borderId="34" xfId="0" applyFont="1" applyFill="1" applyBorder="1" applyAlignment="1">
      <alignment horizontal="center"/>
    </xf>
    <xf numFmtId="0" fontId="9" fillId="7" borderId="42" xfId="0" applyFont="1" applyFill="1" applyBorder="1" applyAlignment="1">
      <alignment horizontal="center"/>
    </xf>
    <xf numFmtId="0" fontId="2" fillId="5" borderId="52" xfId="0" applyFont="1" applyFill="1" applyBorder="1" applyAlignment="1">
      <alignment horizontal="center"/>
    </xf>
    <xf numFmtId="0" fontId="2" fillId="0" borderId="5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37" xfId="0" applyBorder="1" applyAlignment="1">
      <alignment horizontal="center"/>
    </xf>
    <xf numFmtId="0" fontId="9" fillId="0" borderId="22" xfId="0" applyFont="1" applyBorder="1" applyAlignment="1">
      <alignment horizontal="center" vertical="center"/>
    </xf>
    <xf numFmtId="0" fontId="9" fillId="0" borderId="37" xfId="0" applyFont="1" applyBorder="1" applyAlignment="1">
      <alignment horizontal="center" vertical="center"/>
    </xf>
    <xf numFmtId="0" fontId="9" fillId="0" borderId="50" xfId="0" applyFont="1" applyBorder="1" applyAlignment="1">
      <alignment horizontal="center" vertical="center"/>
    </xf>
    <xf numFmtId="0" fontId="10" fillId="0" borderId="153" xfId="0" applyFont="1" applyBorder="1" applyAlignment="1">
      <alignment horizontal="center"/>
    </xf>
    <xf numFmtId="0" fontId="10" fillId="0" borderId="133" xfId="0" applyFont="1" applyBorder="1" applyAlignment="1">
      <alignment horizontal="center"/>
    </xf>
    <xf numFmtId="0" fontId="10" fillId="0" borderId="154" xfId="0" applyFont="1" applyBorder="1" applyAlignment="1">
      <alignment horizontal="center"/>
    </xf>
    <xf numFmtId="0" fontId="10" fillId="0" borderId="49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50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2" fillId="4" borderId="54" xfId="0" applyFont="1" applyFill="1" applyBorder="1" applyAlignment="1">
      <alignment horizontal="center" vertical="center"/>
    </xf>
    <xf numFmtId="0" fontId="2" fillId="4" borderId="55" xfId="0" applyFont="1" applyFill="1" applyBorder="1" applyAlignment="1">
      <alignment horizontal="center" vertical="center"/>
    </xf>
    <xf numFmtId="0" fontId="2" fillId="4" borderId="56" xfId="0" applyFont="1" applyFill="1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31" xfId="0" applyFill="1" applyBorder="1" applyAlignment="1">
      <alignment horizontal="center"/>
    </xf>
    <xf numFmtId="0" fontId="0" fillId="0" borderId="133" xfId="0" applyFill="1" applyBorder="1" applyAlignment="1">
      <alignment horizontal="center"/>
    </xf>
    <xf numFmtId="0" fontId="0" fillId="0" borderId="132" xfId="0" applyFill="1" applyBorder="1" applyAlignment="1">
      <alignment horizontal="center"/>
    </xf>
    <xf numFmtId="0" fontId="2" fillId="0" borderId="135" xfId="0" applyFont="1" applyBorder="1" applyAlignment="1">
      <alignment horizontal="center"/>
    </xf>
    <xf numFmtId="0" fontId="2" fillId="0" borderId="136" xfId="0" applyFont="1" applyBorder="1" applyAlignment="1">
      <alignment horizontal="center"/>
    </xf>
    <xf numFmtId="0" fontId="9" fillId="0" borderId="112" xfId="0" applyFont="1" applyBorder="1" applyAlignment="1">
      <alignment horizontal="center"/>
    </xf>
    <xf numFmtId="0" fontId="0" fillId="0" borderId="36" xfId="0" applyBorder="1" applyAlignment="1">
      <alignment horizontal="center"/>
    </xf>
    <xf numFmtId="0" fontId="10" fillId="0" borderId="8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9" fillId="6" borderId="54" xfId="0" applyFont="1" applyFill="1" applyBorder="1" applyAlignment="1">
      <alignment horizontal="center"/>
    </xf>
    <xf numFmtId="0" fontId="9" fillId="6" borderId="55" xfId="0" applyFont="1" applyFill="1" applyBorder="1" applyAlignment="1">
      <alignment horizontal="center"/>
    </xf>
    <xf numFmtId="0" fontId="9" fillId="6" borderId="56" xfId="0" applyFont="1" applyFill="1" applyBorder="1" applyAlignment="1">
      <alignment horizontal="center"/>
    </xf>
    <xf numFmtId="0" fontId="9" fillId="0" borderId="54" xfId="0" applyFont="1" applyBorder="1" applyAlignment="1">
      <alignment horizontal="center"/>
    </xf>
    <xf numFmtId="0" fontId="9" fillId="0" borderId="55" xfId="0" applyFont="1" applyBorder="1" applyAlignment="1">
      <alignment horizontal="center"/>
    </xf>
    <xf numFmtId="0" fontId="9" fillId="0" borderId="56" xfId="0" applyFont="1" applyBorder="1" applyAlignment="1">
      <alignment horizontal="center"/>
    </xf>
    <xf numFmtId="0" fontId="10" fillId="0" borderId="9" xfId="0" applyFont="1" applyBorder="1" applyAlignment="1">
      <alignment horizontal="center" vertical="center"/>
    </xf>
    <xf numFmtId="0" fontId="9" fillId="0" borderId="49" xfId="0" applyFont="1" applyBorder="1" applyAlignment="1">
      <alignment horizontal="center"/>
    </xf>
    <xf numFmtId="0" fontId="9" fillId="0" borderId="50" xfId="0" applyFont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0" fillId="0" borderId="68" xfId="0" applyBorder="1" applyAlignment="1">
      <alignment horizontal="center" wrapText="1"/>
    </xf>
    <xf numFmtId="0" fontId="0" fillId="0" borderId="124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26" xfId="0" applyBorder="1" applyAlignment="1">
      <alignment horizontal="center" wrapText="1"/>
    </xf>
    <xf numFmtId="0" fontId="0" fillId="2" borderId="16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53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0" fontId="0" fillId="0" borderId="31" xfId="0" applyBorder="1" applyAlignment="1">
      <alignment horizontal="center" wrapText="1"/>
    </xf>
    <xf numFmtId="0" fontId="0" fillId="0" borderId="125" xfId="0" applyBorder="1" applyAlignment="1">
      <alignment horizontal="center" wrapText="1"/>
    </xf>
    <xf numFmtId="164" fontId="4" fillId="0" borderId="12" xfId="0" applyNumberFormat="1" applyFont="1" applyFill="1" applyBorder="1" applyAlignment="1" applyProtection="1">
      <alignment horizontal="center" wrapText="1"/>
      <protection locked="0"/>
    </xf>
    <xf numFmtId="164" fontId="4" fillId="0" borderId="126" xfId="0" applyNumberFormat="1" applyFont="1" applyFill="1" applyBorder="1" applyAlignment="1" applyProtection="1">
      <alignment horizontal="center" wrapText="1"/>
      <protection locked="0"/>
    </xf>
    <xf numFmtId="0" fontId="0" fillId="0" borderId="31" xfId="0" applyFont="1" applyFill="1" applyBorder="1" applyAlignment="1">
      <alignment horizontal="center" wrapText="1"/>
    </xf>
    <xf numFmtId="0" fontId="0" fillId="0" borderId="125" xfId="0" applyFont="1" applyFill="1" applyBorder="1" applyAlignment="1">
      <alignment horizontal="center" wrapText="1"/>
    </xf>
    <xf numFmtId="0" fontId="0" fillId="0" borderId="12" xfId="0" applyFont="1" applyFill="1" applyBorder="1" applyAlignment="1">
      <alignment horizontal="center" vertical="center" wrapText="1"/>
    </xf>
    <xf numFmtId="0" fontId="0" fillId="0" borderId="126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wrapText="1"/>
    </xf>
    <xf numFmtId="0" fontId="0" fillId="0" borderId="27" xfId="0" applyBorder="1" applyAlignment="1">
      <alignment horizontal="center" wrapText="1"/>
    </xf>
    <xf numFmtId="0" fontId="0" fillId="0" borderId="12" xfId="0" applyFont="1" applyFill="1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110" xfId="0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2" borderId="19" xfId="0" applyFill="1" applyBorder="1" applyAlignment="1">
      <alignment horizontal="center" vertical="center" wrapText="1"/>
    </xf>
    <xf numFmtId="0" fontId="0" fillId="2" borderId="68" xfId="0" applyFill="1" applyBorder="1" applyAlignment="1">
      <alignment horizontal="center" vertical="center" wrapText="1"/>
    </xf>
    <xf numFmtId="0" fontId="0" fillId="2" borderId="5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28" xfId="0" applyFill="1" applyBorder="1" applyAlignment="1">
      <alignment horizontal="center" vertical="center" wrapText="1"/>
    </xf>
    <xf numFmtId="0" fontId="0" fillId="2" borderId="16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23" xfId="0" applyFill="1" applyBorder="1" applyAlignment="1">
      <alignment horizontal="center" vertical="center" wrapText="1"/>
    </xf>
    <xf numFmtId="0" fontId="0" fillId="0" borderId="27" xfId="0" applyFont="1" applyFill="1" applyBorder="1" applyAlignment="1">
      <alignment horizontal="center" wrapText="1"/>
    </xf>
    <xf numFmtId="0" fontId="0" fillId="0" borderId="163" xfId="0" applyFont="1" applyFill="1" applyBorder="1" applyAlignment="1">
      <alignment horizontal="center" wrapText="1"/>
    </xf>
    <xf numFmtId="164" fontId="4" fillId="0" borderId="21" xfId="0" applyNumberFormat="1" applyFont="1" applyFill="1" applyBorder="1" applyAlignment="1" applyProtection="1">
      <alignment horizontal="center" wrapText="1"/>
      <protection locked="0"/>
    </xf>
    <xf numFmtId="164" fontId="4" fillId="0" borderId="122" xfId="0" applyNumberFormat="1" applyFont="1" applyFill="1" applyBorder="1" applyAlignment="1" applyProtection="1">
      <alignment horizontal="center" wrapText="1"/>
      <protection locked="0"/>
    </xf>
    <xf numFmtId="0" fontId="0" fillId="0" borderId="27" xfId="0" applyFont="1" applyBorder="1" applyAlignment="1">
      <alignment horizontal="center" wrapText="1"/>
    </xf>
    <xf numFmtId="0" fontId="0" fillId="0" borderId="31" xfId="0" applyFont="1" applyBorder="1" applyAlignment="1">
      <alignment horizontal="center" wrapText="1"/>
    </xf>
    <xf numFmtId="0" fontId="0" fillId="0" borderId="163" xfId="0" applyFont="1" applyBorder="1" applyAlignment="1">
      <alignment horizontal="center" wrapText="1"/>
    </xf>
    <xf numFmtId="0" fontId="0" fillId="0" borderId="121" xfId="0" applyBorder="1" applyAlignment="1">
      <alignment horizontal="center" wrapText="1"/>
    </xf>
    <xf numFmtId="174" fontId="0" fillId="0" borderId="134" xfId="0" applyNumberFormat="1" applyFont="1" applyFill="1" applyBorder="1" applyAlignment="1">
      <alignment horizontal="right"/>
    </xf>
    <xf numFmtId="174" fontId="0" fillId="0" borderId="113" xfId="0" applyNumberFormat="1" applyFont="1" applyFill="1" applyBorder="1" applyAlignment="1">
      <alignment horizontal="right"/>
    </xf>
    <xf numFmtId="174" fontId="0" fillId="0" borderId="118" xfId="0" applyNumberFormat="1" applyFont="1" applyFill="1" applyBorder="1" applyAlignment="1">
      <alignment horizontal="right"/>
    </xf>
    <xf numFmtId="174" fontId="0" fillId="0" borderId="156" xfId="0" applyNumberFormat="1" applyFont="1" applyFill="1" applyBorder="1" applyAlignment="1">
      <alignment horizontal="right"/>
    </xf>
    <xf numFmtId="174" fontId="0" fillId="0" borderId="167" xfId="0" applyNumberFormat="1" applyFont="1" applyFill="1" applyBorder="1" applyAlignment="1">
      <alignment horizontal="right"/>
    </xf>
    <xf numFmtId="174" fontId="0" fillId="0" borderId="168" xfId="0" applyNumberFormat="1" applyFont="1" applyFill="1" applyBorder="1" applyAlignment="1">
      <alignment horizontal="right"/>
    </xf>
    <xf numFmtId="0" fontId="0" fillId="0" borderId="119" xfId="0" applyFont="1" applyFill="1" applyBorder="1" applyAlignment="1">
      <alignment horizontal="center"/>
    </xf>
    <xf numFmtId="0" fontId="0" fillId="0" borderId="68" xfId="0" applyFont="1" applyFill="1" applyBorder="1" applyAlignment="1">
      <alignment horizontal="center"/>
    </xf>
    <xf numFmtId="174" fontId="0" fillId="0" borderId="166" xfId="0" applyNumberFormat="1" applyFont="1" applyFill="1" applyBorder="1" applyAlignment="1">
      <alignment horizontal="right"/>
    </xf>
    <xf numFmtId="174" fontId="0" fillId="0" borderId="31" xfId="0" applyNumberFormat="1" applyFont="1" applyFill="1" applyBorder="1" applyAlignment="1">
      <alignment horizontal="right"/>
    </xf>
    <xf numFmtId="0" fontId="2" fillId="5" borderId="27" xfId="0" applyFont="1" applyFill="1" applyBorder="1" applyAlignment="1">
      <alignment horizontal="center" wrapText="1"/>
    </xf>
    <xf numFmtId="0" fontId="2" fillId="5" borderId="28" xfId="0" applyFont="1" applyFill="1" applyBorder="1" applyAlignment="1">
      <alignment horizontal="center" wrapText="1"/>
    </xf>
    <xf numFmtId="0" fontId="2" fillId="5" borderId="58" xfId="0" applyFont="1" applyFill="1" applyBorder="1" applyAlignment="1">
      <alignment horizontal="center" wrapText="1"/>
    </xf>
    <xf numFmtId="0" fontId="2" fillId="5" borderId="29" xfId="0" applyFont="1" applyFill="1" applyBorder="1" applyAlignment="1">
      <alignment horizontal="center" wrapText="1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5" borderId="38" xfId="0" applyFont="1" applyFill="1" applyBorder="1" applyAlignment="1">
      <alignment horizontal="center"/>
    </xf>
    <xf numFmtId="0" fontId="2" fillId="5" borderId="34" xfId="0" applyFont="1" applyFill="1" applyBorder="1" applyAlignment="1">
      <alignment horizontal="center"/>
    </xf>
    <xf numFmtId="0" fontId="2" fillId="5" borderId="42" xfId="0" applyFont="1" applyFill="1" applyBorder="1" applyAlignment="1">
      <alignment horizontal="center"/>
    </xf>
    <xf numFmtId="0" fontId="2" fillId="5" borderId="36" xfId="0" applyFont="1" applyFill="1" applyBorder="1" applyAlignment="1">
      <alignment horizontal="center" wrapText="1"/>
    </xf>
    <xf numFmtId="0" fontId="2" fillId="5" borderId="37" xfId="0" applyFont="1" applyFill="1" applyBorder="1" applyAlignment="1">
      <alignment horizontal="center" wrapText="1"/>
    </xf>
    <xf numFmtId="0" fontId="2" fillId="0" borderId="27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95" xfId="0" applyBorder="1" applyAlignment="1">
      <alignment horizontal="center" vertical="center"/>
    </xf>
    <xf numFmtId="0" fontId="0" fillId="0" borderId="96" xfId="0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01" xfId="0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128" xfId="0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" xfId="0" applyFont="1" applyBorder="1" applyAlignment="1">
      <alignment horizontal="center"/>
    </xf>
  </cellXfs>
  <cellStyles count="3">
    <cellStyle name="Currency" xfId="2" builtinId="4"/>
    <cellStyle name="Normal" xfId="0" builtinId="0"/>
    <cellStyle name="Percent" xfId="1" builtinId="5"/>
  </cellStyles>
  <dxfs count="65">
    <dxf>
      <numFmt numFmtId="176" formatCode="&quot;&quot;"/>
    </dxf>
    <dxf>
      <numFmt numFmtId="176" formatCode="&quot;&quot;"/>
    </dxf>
    <dxf>
      <numFmt numFmtId="176" formatCode="&quot;&quot;"/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numFmt numFmtId="175" formatCode="&quot;-&quot;"/>
    </dxf>
    <dxf>
      <fill>
        <patternFill patternType="lightDown">
          <fgColor rgb="FFFFFF00"/>
          <bgColor auto="1"/>
        </patternFill>
      </fill>
    </dxf>
    <dxf>
      <numFmt numFmtId="175" formatCode="&quot;-&quot;"/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fill>
        <patternFill patternType="lightDown">
          <fgColor rgb="FFFFFF00"/>
          <bgColor auto="1"/>
        </patternFill>
      </fill>
    </dxf>
    <dxf>
      <numFmt numFmtId="175" formatCode="&quot;-&quot;"/>
    </dxf>
    <dxf>
      <font>
        <strike val="0"/>
      </font>
      <numFmt numFmtId="175" formatCode="&quot;-&quot;"/>
    </dxf>
    <dxf>
      <font>
        <strike val="0"/>
      </font>
      <numFmt numFmtId="175" formatCode="&quot;-&quot;"/>
    </dxf>
    <dxf>
      <font>
        <strike val="0"/>
      </font>
      <numFmt numFmtId="175" formatCode="&quot;-&quot;"/>
    </dxf>
    <dxf>
      <fill>
        <patternFill patternType="lightDown">
          <fgColor rgb="FFFFFF00"/>
          <bgColor auto="1"/>
        </patternFill>
      </fill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numFmt numFmtId="175" formatCode="&quot;-&quot;"/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numFmt numFmtId="175" formatCode="&quot;-&quot;"/>
    </dxf>
    <dxf>
      <numFmt numFmtId="175" formatCode="&quot;-&quot;"/>
    </dxf>
    <dxf>
      <fill>
        <patternFill patternType="lightDown">
          <fgColor rgb="FFFFFF00"/>
          <bgColor auto="1"/>
        </patternFill>
      </fill>
    </dxf>
    <dxf>
      <numFmt numFmtId="175" formatCode="&quot;-&quot;"/>
    </dxf>
    <dxf>
      <numFmt numFmtId="175" formatCode="&quot;-&quot;"/>
    </dxf>
    <dxf>
      <numFmt numFmtId="175" formatCode="&quot;-&quot;"/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numFmt numFmtId="175" formatCode="&quot;-&quot;"/>
    </dxf>
    <dxf>
      <numFmt numFmtId="175" formatCode="&quot;-&quot;"/>
    </dxf>
    <dxf>
      <numFmt numFmtId="175" formatCode="&quot;-&quot;"/>
    </dxf>
    <dxf>
      <numFmt numFmtId="175" formatCode="&quot;-&quot;"/>
    </dxf>
    <dxf>
      <numFmt numFmtId="175" formatCode="&quot;-&quot;"/>
    </dxf>
    <dxf>
      <numFmt numFmtId="175" formatCode="&quot;-&quot;"/>
    </dxf>
    <dxf>
      <numFmt numFmtId="176" formatCode="&quot;&quot;"/>
    </dxf>
    <dxf>
      <numFmt numFmtId="176" formatCode="&quot;&quot;"/>
    </dxf>
    <dxf>
      <numFmt numFmtId="175" formatCode="&quot;-&quot;"/>
    </dxf>
    <dxf>
      <numFmt numFmtId="175" formatCode="&quot;-&quot;"/>
    </dxf>
    <dxf>
      <numFmt numFmtId="175" formatCode="&quot;-&quot;"/>
    </dxf>
    <dxf>
      <numFmt numFmtId="175" formatCode="&quot;-&quot;"/>
    </dxf>
    <dxf>
      <fill>
        <patternFill patternType="lightDown">
          <fgColor rgb="FFFFFF00"/>
          <bgColor auto="1"/>
        </patternFill>
      </fill>
    </dxf>
    <dxf>
      <fill>
        <patternFill patternType="lightDown">
          <fgColor rgb="FFFFFF00"/>
          <bgColor auto="1"/>
        </patternFill>
      </fill>
    </dxf>
    <dxf>
      <fill>
        <patternFill patternType="lightDown">
          <fgColor rgb="FFFFFF00"/>
          <bgColor auto="1"/>
        </patternFill>
      </fill>
    </dxf>
    <dxf>
      <fill>
        <patternFill patternType="lightDown">
          <fgColor rgb="FFFFFF00"/>
          <bgColor auto="1"/>
        </patternFill>
      </fill>
    </dxf>
    <dxf>
      <font>
        <strike val="0"/>
      </font>
      <numFmt numFmtId="175" formatCode="&quot;-&quot;"/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font>
        <strike val="0"/>
      </font>
      <numFmt numFmtId="175" formatCode="&quot;-&quot;"/>
    </dxf>
    <dxf>
      <numFmt numFmtId="175" formatCode="&quot;-&quot;"/>
    </dxf>
    <dxf>
      <numFmt numFmtId="175" formatCode="&quot;-&quot;"/>
    </dxf>
    <dxf>
      <numFmt numFmtId="175" formatCode="&quot;-&quot;"/>
    </dxf>
    <dxf>
      <numFmt numFmtId="175" formatCode="&quot;-&quot;"/>
    </dxf>
    <dxf>
      <numFmt numFmtId="175" formatCode="&quot;-&quot;"/>
    </dxf>
    <dxf>
      <numFmt numFmtId="175" formatCode="&quot;-&quot;"/>
    </dxf>
    <dxf>
      <numFmt numFmtId="175" formatCode="&quot;-&quot;"/>
    </dxf>
    <dxf>
      <fill>
        <patternFill>
          <bgColor rgb="FFFF0000"/>
        </patternFill>
      </fill>
    </dxf>
    <dxf>
      <font>
        <b val="0"/>
        <i val="0"/>
        <color auto="1"/>
      </font>
      <numFmt numFmtId="177" formatCode="&quot; input ? &quot;"/>
      <fill>
        <patternFill patternType="lightTrellis">
          <fgColor rgb="FFFF5D5D"/>
          <bgColor auto="1"/>
        </patternFill>
      </fill>
    </dxf>
    <dxf>
      <numFmt numFmtId="175" formatCode="&quot;-&quot;"/>
    </dxf>
  </dxfs>
  <tableStyles count="0" defaultTableStyle="TableStyleMedium2" defaultPivotStyle="PivotStyleLight16"/>
  <colors>
    <mruColors>
      <color rgb="FFFFFFFF"/>
      <color rgb="FFFF5D5D"/>
      <color rgb="FFFFB49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251792</xdr:colOff>
      <xdr:row>24</xdr:row>
      <xdr:rowOff>275644</xdr:rowOff>
    </xdr:from>
    <xdr:to>
      <xdr:col>14</xdr:col>
      <xdr:colOff>617552</xdr:colOff>
      <xdr:row>28</xdr:row>
      <xdr:rowOff>0</xdr:rowOff>
    </xdr:to>
    <xdr:sp macro="[0]!stamping_stringers" textlink="">
      <xdr:nvSpPr>
        <xdr:cNvPr id="101" name="check12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Aspect="1"/>
        </xdr:cNvSpPr>
      </xdr:nvSpPr>
      <xdr:spPr>
        <a:xfrm>
          <a:off x="11284227" y="8783540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23</xdr:row>
      <xdr:rowOff>18551</xdr:rowOff>
    </xdr:to>
    <xdr:sp macro="[0]!stamping_bottom" textlink="">
      <xdr:nvSpPr>
        <xdr:cNvPr id="100" name="check11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>
          <a:spLocks noChangeAspect="1"/>
        </xdr:cNvSpPr>
      </xdr:nvSpPr>
      <xdr:spPr>
        <a:xfrm>
          <a:off x="11284227" y="7849261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18</xdr:row>
      <xdr:rowOff>268024</xdr:rowOff>
    </xdr:from>
    <xdr:to>
      <xdr:col>14</xdr:col>
      <xdr:colOff>617552</xdr:colOff>
      <xdr:row>20</xdr:row>
      <xdr:rowOff>10932</xdr:rowOff>
    </xdr:to>
    <xdr:sp macro="[0]!stamping_top" textlink="">
      <xdr:nvSpPr>
        <xdr:cNvPr id="99" name="check10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>
          <a:spLocks noChangeAspect="1"/>
        </xdr:cNvSpPr>
      </xdr:nvSpPr>
      <xdr:spPr>
        <a:xfrm>
          <a:off x="11293172" y="6836464"/>
          <a:ext cx="365760" cy="3677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24</xdr:row>
      <xdr:rowOff>275644</xdr:rowOff>
    </xdr:from>
    <xdr:to>
      <xdr:col>16</xdr:col>
      <xdr:colOff>617552</xdr:colOff>
      <xdr:row>28</xdr:row>
      <xdr:rowOff>0</xdr:rowOff>
    </xdr:to>
    <xdr:sp macro="[0]!heat_treat_stringers" textlink="">
      <xdr:nvSpPr>
        <xdr:cNvPr id="98" name="check9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>
          <a:spLocks noChangeAspect="1"/>
        </xdr:cNvSpPr>
      </xdr:nvSpPr>
      <xdr:spPr>
        <a:xfrm>
          <a:off x="10409583" y="8783540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21</xdr:row>
      <xdr:rowOff>275644</xdr:rowOff>
    </xdr:from>
    <xdr:to>
      <xdr:col>16</xdr:col>
      <xdr:colOff>617552</xdr:colOff>
      <xdr:row>23</xdr:row>
      <xdr:rowOff>18551</xdr:rowOff>
    </xdr:to>
    <xdr:sp macro="[0]!heat_treat_bottom" textlink="">
      <xdr:nvSpPr>
        <xdr:cNvPr id="97" name="check8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>
          <a:spLocks noChangeAspect="1"/>
        </xdr:cNvSpPr>
      </xdr:nvSpPr>
      <xdr:spPr>
        <a:xfrm>
          <a:off x="10409583" y="7849261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18</xdr:row>
      <xdr:rowOff>268024</xdr:rowOff>
    </xdr:from>
    <xdr:to>
      <xdr:col>16</xdr:col>
      <xdr:colOff>617552</xdr:colOff>
      <xdr:row>20</xdr:row>
      <xdr:rowOff>10932</xdr:rowOff>
    </xdr:to>
    <xdr:sp macro="[0]!heat_treat_top" textlink="">
      <xdr:nvSpPr>
        <xdr:cNvPr id="96" name="check7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>
          <a:spLocks noChangeAspect="1"/>
        </xdr:cNvSpPr>
      </xdr:nvSpPr>
      <xdr:spPr>
        <a:xfrm>
          <a:off x="10409583" y="6907363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24</xdr:row>
      <xdr:rowOff>275644</xdr:rowOff>
    </xdr:from>
    <xdr:to>
      <xdr:col>16</xdr:col>
      <xdr:colOff>617552</xdr:colOff>
      <xdr:row>28</xdr:row>
      <xdr:rowOff>0</xdr:rowOff>
    </xdr:to>
    <xdr:sp macro="[0]!strapping_stringers" textlink="">
      <xdr:nvSpPr>
        <xdr:cNvPr id="95" name="check6" hidden="1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>
          <a:spLocks noChangeAspect="1"/>
        </xdr:cNvSpPr>
      </xdr:nvSpPr>
      <xdr:spPr>
        <a:xfrm>
          <a:off x="9534940" y="8783540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21</xdr:row>
      <xdr:rowOff>275644</xdr:rowOff>
    </xdr:from>
    <xdr:to>
      <xdr:col>16</xdr:col>
      <xdr:colOff>617552</xdr:colOff>
      <xdr:row>23</xdr:row>
      <xdr:rowOff>18551</xdr:rowOff>
    </xdr:to>
    <xdr:sp macro="[0]!strapping_bottom" textlink="">
      <xdr:nvSpPr>
        <xdr:cNvPr id="94" name="check5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>
          <a:spLocks noChangeAspect="1"/>
        </xdr:cNvSpPr>
      </xdr:nvSpPr>
      <xdr:spPr>
        <a:xfrm>
          <a:off x="9534940" y="7849261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24</xdr:row>
      <xdr:rowOff>275644</xdr:rowOff>
    </xdr:from>
    <xdr:to>
      <xdr:col>14</xdr:col>
      <xdr:colOff>617552</xdr:colOff>
      <xdr:row>28</xdr:row>
      <xdr:rowOff>0</xdr:rowOff>
    </xdr:to>
    <xdr:sp macro="[0]!nail_gun_stringers" textlink="">
      <xdr:nvSpPr>
        <xdr:cNvPr id="88" name="check3" hidden="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>
          <a:spLocks noChangeAspect="1"/>
        </xdr:cNvSpPr>
      </xdr:nvSpPr>
      <xdr:spPr>
        <a:xfrm>
          <a:off x="8660296" y="8783540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23</xdr:row>
      <xdr:rowOff>18551</xdr:rowOff>
    </xdr:to>
    <xdr:sp macro="[0]!nail_gun_bottom" textlink="">
      <xdr:nvSpPr>
        <xdr:cNvPr id="86" name="check2" hidden="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>
          <a:spLocks noChangeAspect="1"/>
        </xdr:cNvSpPr>
      </xdr:nvSpPr>
      <xdr:spPr>
        <a:xfrm>
          <a:off x="8660296" y="7849261"/>
          <a:ext cx="365760" cy="36576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822960</xdr:colOff>
          <xdr:row>52</xdr:row>
          <xdr:rowOff>45720</xdr:rowOff>
        </xdr:from>
        <xdr:to>
          <xdr:col>2</xdr:col>
          <xdr:colOff>419100</xdr:colOff>
          <xdr:row>53</xdr:row>
          <xdr:rowOff>167640</xdr:rowOff>
        </xdr:to>
        <xdr:sp macro="" textlink="">
          <xdr:nvSpPr>
            <xdr:cNvPr id="2093" name="CheckBox_nailtype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243779</xdr:colOff>
      <xdr:row>18</xdr:row>
      <xdr:rowOff>265161</xdr:rowOff>
    </xdr:from>
    <xdr:to>
      <xdr:col>14</xdr:col>
      <xdr:colOff>609539</xdr:colOff>
      <xdr:row>20</xdr:row>
      <xdr:rowOff>8069</xdr:rowOff>
    </xdr:to>
    <xdr:sp macro="[0]!nail_gun_top" textlink="">
      <xdr:nvSpPr>
        <xdr:cNvPr id="122" name="check1" hidden="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>
          <a:spLocks noChangeAspect="1"/>
        </xdr:cNvSpPr>
      </xdr:nvSpPr>
      <xdr:spPr>
        <a:xfrm>
          <a:off x="8669895" y="6898572"/>
          <a:ext cx="365760" cy="368550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24</xdr:row>
      <xdr:rowOff>18552</xdr:rowOff>
    </xdr:to>
    <xdr:sp macro="[0]!stamping_stringers" textlink="">
      <xdr:nvSpPr>
        <xdr:cNvPr id="90" name="check12" hidden="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>
          <a:spLocks noChangeAspect="1"/>
        </xdr:cNvSpPr>
      </xdr:nvSpPr>
      <xdr:spPr>
        <a:xfrm>
          <a:off x="11095052" y="149484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22</xdr:row>
      <xdr:rowOff>18551</xdr:rowOff>
    </xdr:to>
    <xdr:sp macro="[0]!stamping_bottom" textlink="">
      <xdr:nvSpPr>
        <xdr:cNvPr id="91" name="check11" hidden="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>
          <a:spLocks noChangeAspect="1"/>
        </xdr:cNvSpPr>
      </xdr:nvSpPr>
      <xdr:spPr>
        <a:xfrm>
          <a:off x="11095052" y="11214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18</xdr:row>
      <xdr:rowOff>268024</xdr:rowOff>
    </xdr:from>
    <xdr:to>
      <xdr:col>14</xdr:col>
      <xdr:colOff>617552</xdr:colOff>
      <xdr:row>20</xdr:row>
      <xdr:rowOff>10932</xdr:rowOff>
    </xdr:to>
    <xdr:sp macro="[0]!stamping_top" textlink="">
      <xdr:nvSpPr>
        <xdr:cNvPr id="92" name="check10" hidden="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>
          <a:spLocks noChangeAspect="1"/>
        </xdr:cNvSpPr>
      </xdr:nvSpPr>
      <xdr:spPr>
        <a:xfrm>
          <a:off x="11095052" y="565204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23</xdr:row>
      <xdr:rowOff>275644</xdr:rowOff>
    </xdr:from>
    <xdr:to>
      <xdr:col>16</xdr:col>
      <xdr:colOff>617552</xdr:colOff>
      <xdr:row>24</xdr:row>
      <xdr:rowOff>18552</xdr:rowOff>
    </xdr:to>
    <xdr:sp macro="[0]!heat_treat_stringers" textlink="">
      <xdr:nvSpPr>
        <xdr:cNvPr id="93" name="check9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>
          <a:spLocks noChangeAspect="1"/>
        </xdr:cNvSpPr>
      </xdr:nvSpPr>
      <xdr:spPr>
        <a:xfrm>
          <a:off x="10218752" y="149484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21</xdr:row>
      <xdr:rowOff>275644</xdr:rowOff>
    </xdr:from>
    <xdr:to>
      <xdr:col>16</xdr:col>
      <xdr:colOff>617552</xdr:colOff>
      <xdr:row>22</xdr:row>
      <xdr:rowOff>18551</xdr:rowOff>
    </xdr:to>
    <xdr:sp macro="[0]!heat_treat_bottom" textlink="">
      <xdr:nvSpPr>
        <xdr:cNvPr id="102" name="check8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>
          <a:spLocks noChangeAspect="1"/>
        </xdr:cNvSpPr>
      </xdr:nvSpPr>
      <xdr:spPr>
        <a:xfrm>
          <a:off x="10218752" y="11214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18</xdr:row>
      <xdr:rowOff>268024</xdr:rowOff>
    </xdr:from>
    <xdr:to>
      <xdr:col>16</xdr:col>
      <xdr:colOff>617552</xdr:colOff>
      <xdr:row>20</xdr:row>
      <xdr:rowOff>10932</xdr:rowOff>
    </xdr:to>
    <xdr:sp macro="[0]!heat_treat_top" textlink="">
      <xdr:nvSpPr>
        <xdr:cNvPr id="103" name="check7" hidden="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>
          <a:spLocks noChangeAspect="1"/>
        </xdr:cNvSpPr>
      </xdr:nvSpPr>
      <xdr:spPr>
        <a:xfrm>
          <a:off x="10218752" y="565204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23</xdr:row>
      <xdr:rowOff>275644</xdr:rowOff>
    </xdr:from>
    <xdr:to>
      <xdr:col>16</xdr:col>
      <xdr:colOff>617552</xdr:colOff>
      <xdr:row>24</xdr:row>
      <xdr:rowOff>18552</xdr:rowOff>
    </xdr:to>
    <xdr:sp macro="[0]!strapping_stringers" textlink="">
      <xdr:nvSpPr>
        <xdr:cNvPr id="104" name="check6" hidden="1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Aspect="1"/>
        </xdr:cNvSpPr>
      </xdr:nvSpPr>
      <xdr:spPr>
        <a:xfrm>
          <a:off x="9342452" y="149484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21</xdr:row>
      <xdr:rowOff>275644</xdr:rowOff>
    </xdr:from>
    <xdr:to>
      <xdr:col>16</xdr:col>
      <xdr:colOff>617552</xdr:colOff>
      <xdr:row>22</xdr:row>
      <xdr:rowOff>18551</xdr:rowOff>
    </xdr:to>
    <xdr:sp macro="[0]!strapping_bottom" textlink="">
      <xdr:nvSpPr>
        <xdr:cNvPr id="105" name="check5" hidden="1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Aspect="1"/>
        </xdr:cNvSpPr>
      </xdr:nvSpPr>
      <xdr:spPr>
        <a:xfrm>
          <a:off x="9342452" y="11214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24</xdr:row>
      <xdr:rowOff>18552</xdr:rowOff>
    </xdr:to>
    <xdr:sp macro="[0]!nail_gun_stringers" textlink="">
      <xdr:nvSpPr>
        <xdr:cNvPr id="106" name="check3" hidden="1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Aspect="1"/>
        </xdr:cNvSpPr>
      </xdr:nvSpPr>
      <xdr:spPr>
        <a:xfrm>
          <a:off x="8466152" y="149484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22</xdr:row>
      <xdr:rowOff>18551</xdr:rowOff>
    </xdr:to>
    <xdr:sp macro="[0]!nail_gun_bottom" textlink="">
      <xdr:nvSpPr>
        <xdr:cNvPr id="107" name="check2" hidden="1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Aspect="1"/>
        </xdr:cNvSpPr>
      </xdr:nvSpPr>
      <xdr:spPr>
        <a:xfrm>
          <a:off x="8466152" y="11214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243779</xdr:colOff>
      <xdr:row>18</xdr:row>
      <xdr:rowOff>265161</xdr:rowOff>
    </xdr:from>
    <xdr:to>
      <xdr:col>14</xdr:col>
      <xdr:colOff>609539</xdr:colOff>
      <xdr:row>20</xdr:row>
      <xdr:rowOff>8069</xdr:rowOff>
    </xdr:to>
    <xdr:sp macro="[0]!nail_gun_top" textlink="">
      <xdr:nvSpPr>
        <xdr:cNvPr id="108" name="check1" hidden="1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Aspect="1"/>
        </xdr:cNvSpPr>
      </xdr:nvSpPr>
      <xdr:spPr>
        <a:xfrm>
          <a:off x="8458139" y="56234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25</xdr:row>
      <xdr:rowOff>0</xdr:rowOff>
    </xdr:to>
    <xdr:sp macro="[0]!stamping_stringers" textlink="">
      <xdr:nvSpPr>
        <xdr:cNvPr id="25" name="check12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/>
        </xdr:cNvSpPr>
      </xdr:nvSpPr>
      <xdr:spPr>
        <a:xfrm>
          <a:off x="11277932" y="7766104"/>
          <a:ext cx="365760" cy="5201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23</xdr:row>
      <xdr:rowOff>275644</xdr:rowOff>
    </xdr:from>
    <xdr:to>
      <xdr:col>16</xdr:col>
      <xdr:colOff>617552</xdr:colOff>
      <xdr:row>25</xdr:row>
      <xdr:rowOff>0</xdr:rowOff>
    </xdr:to>
    <xdr:sp macro="[0]!heat_treat_stringers" textlink="">
      <xdr:nvSpPr>
        <xdr:cNvPr id="26" name="check9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/>
        </xdr:cNvSpPr>
      </xdr:nvSpPr>
      <xdr:spPr>
        <a:xfrm>
          <a:off x="10401632" y="7766104"/>
          <a:ext cx="365760" cy="5201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251792</xdr:colOff>
      <xdr:row>23</xdr:row>
      <xdr:rowOff>275644</xdr:rowOff>
    </xdr:from>
    <xdr:to>
      <xdr:col>16</xdr:col>
      <xdr:colOff>617552</xdr:colOff>
      <xdr:row>25</xdr:row>
      <xdr:rowOff>0</xdr:rowOff>
    </xdr:to>
    <xdr:sp macro="[0]!strapping_stringers" textlink="">
      <xdr:nvSpPr>
        <xdr:cNvPr id="27" name="check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/>
        </xdr:cNvSpPr>
      </xdr:nvSpPr>
      <xdr:spPr>
        <a:xfrm>
          <a:off x="9525332" y="7766104"/>
          <a:ext cx="365760" cy="5201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25</xdr:row>
      <xdr:rowOff>0</xdr:rowOff>
    </xdr:to>
    <xdr:sp macro="[0]!nail_gun_stringers" textlink="">
      <xdr:nvSpPr>
        <xdr:cNvPr id="28" name="check3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/>
        </xdr:cNvSpPr>
      </xdr:nvSpPr>
      <xdr:spPr>
        <a:xfrm>
          <a:off x="8649032" y="7766104"/>
          <a:ext cx="365760" cy="52014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21</xdr:row>
      <xdr:rowOff>275644</xdr:rowOff>
    </xdr:from>
    <xdr:to>
      <xdr:col>15</xdr:col>
      <xdr:colOff>617552</xdr:colOff>
      <xdr:row>23</xdr:row>
      <xdr:rowOff>18551</xdr:rowOff>
    </xdr:to>
    <xdr:sp macro="" textlink="">
      <xdr:nvSpPr>
        <xdr:cNvPr id="29" name="check11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/>
        </xdr:cNvSpPr>
      </xdr:nvSpPr>
      <xdr:spPr>
        <a:xfrm>
          <a:off x="10462592" y="5160064"/>
          <a:ext cx="350520" cy="2077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18</xdr:row>
      <xdr:rowOff>268024</xdr:rowOff>
    </xdr:from>
    <xdr:to>
      <xdr:col>15</xdr:col>
      <xdr:colOff>617552</xdr:colOff>
      <xdr:row>20</xdr:row>
      <xdr:rowOff>10932</xdr:rowOff>
    </xdr:to>
    <xdr:sp macro="" textlink="">
      <xdr:nvSpPr>
        <xdr:cNvPr id="30" name="check10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>
          <a:spLocks noChangeAspect="1"/>
        </xdr:cNvSpPr>
      </xdr:nvSpPr>
      <xdr:spPr>
        <a:xfrm>
          <a:off x="10462592" y="4588564"/>
          <a:ext cx="35052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23</xdr:row>
      <xdr:rowOff>18551</xdr:rowOff>
    </xdr:to>
    <xdr:sp macro="" textlink="">
      <xdr:nvSpPr>
        <xdr:cNvPr id="31" name="check8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/>
        </xdr:cNvSpPr>
      </xdr:nvSpPr>
      <xdr:spPr>
        <a:xfrm>
          <a:off x="9532952" y="5160064"/>
          <a:ext cx="365760" cy="2077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18</xdr:row>
      <xdr:rowOff>268024</xdr:rowOff>
    </xdr:from>
    <xdr:to>
      <xdr:col>14</xdr:col>
      <xdr:colOff>617552</xdr:colOff>
      <xdr:row>20</xdr:row>
      <xdr:rowOff>10932</xdr:rowOff>
    </xdr:to>
    <xdr:sp macro="" textlink="">
      <xdr:nvSpPr>
        <xdr:cNvPr id="32" name="check7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>
          <a:spLocks noChangeAspect="1"/>
        </xdr:cNvSpPr>
      </xdr:nvSpPr>
      <xdr:spPr>
        <a:xfrm>
          <a:off x="9532952" y="4588564"/>
          <a:ext cx="36576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23</xdr:row>
      <xdr:rowOff>18551</xdr:rowOff>
    </xdr:to>
    <xdr:sp macro="" textlink="">
      <xdr:nvSpPr>
        <xdr:cNvPr id="33" name="check5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/>
        </xdr:cNvSpPr>
      </xdr:nvSpPr>
      <xdr:spPr>
        <a:xfrm>
          <a:off x="9532952" y="5160064"/>
          <a:ext cx="365760" cy="2077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21</xdr:row>
      <xdr:rowOff>275644</xdr:rowOff>
    </xdr:from>
    <xdr:to>
      <xdr:col>11</xdr:col>
      <xdr:colOff>617552</xdr:colOff>
      <xdr:row>23</xdr:row>
      <xdr:rowOff>18551</xdr:rowOff>
    </xdr:to>
    <xdr:sp macro="" textlink="">
      <xdr:nvSpPr>
        <xdr:cNvPr id="34" name="check2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ChangeAspect="1"/>
        </xdr:cNvSpPr>
      </xdr:nvSpPr>
      <xdr:spPr>
        <a:xfrm>
          <a:off x="7315532" y="5160064"/>
          <a:ext cx="365760" cy="2077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18</xdr:row>
      <xdr:rowOff>265161</xdr:rowOff>
    </xdr:from>
    <xdr:to>
      <xdr:col>11</xdr:col>
      <xdr:colOff>609539</xdr:colOff>
      <xdr:row>20</xdr:row>
      <xdr:rowOff>8069</xdr:rowOff>
    </xdr:to>
    <xdr:sp macro="" textlink="">
      <xdr:nvSpPr>
        <xdr:cNvPr id="35" name="check1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/>
        </xdr:cNvSpPr>
      </xdr:nvSpPr>
      <xdr:spPr>
        <a:xfrm>
          <a:off x="7307519" y="4585701"/>
          <a:ext cx="36576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23</xdr:row>
      <xdr:rowOff>275644</xdr:rowOff>
    </xdr:from>
    <xdr:to>
      <xdr:col>15</xdr:col>
      <xdr:colOff>617552</xdr:colOff>
      <xdr:row>24</xdr:row>
      <xdr:rowOff>18552</xdr:rowOff>
    </xdr:to>
    <xdr:sp macro="" textlink="">
      <xdr:nvSpPr>
        <xdr:cNvPr id="36" name="check12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/>
        </xdr:cNvSpPr>
      </xdr:nvSpPr>
      <xdr:spPr>
        <a:xfrm>
          <a:off x="10462592" y="5541064"/>
          <a:ext cx="35052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21</xdr:row>
      <xdr:rowOff>275644</xdr:rowOff>
    </xdr:from>
    <xdr:to>
      <xdr:col>15</xdr:col>
      <xdr:colOff>617552</xdr:colOff>
      <xdr:row>22</xdr:row>
      <xdr:rowOff>18551</xdr:rowOff>
    </xdr:to>
    <xdr:sp macro="" textlink="">
      <xdr:nvSpPr>
        <xdr:cNvPr id="37" name="check11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/>
        </xdr:cNvSpPr>
      </xdr:nvSpPr>
      <xdr:spPr>
        <a:xfrm>
          <a:off x="10462592" y="5160064"/>
          <a:ext cx="35052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18</xdr:row>
      <xdr:rowOff>268024</xdr:rowOff>
    </xdr:from>
    <xdr:to>
      <xdr:col>15</xdr:col>
      <xdr:colOff>617552</xdr:colOff>
      <xdr:row>20</xdr:row>
      <xdr:rowOff>10932</xdr:rowOff>
    </xdr:to>
    <xdr:sp macro="" textlink="">
      <xdr:nvSpPr>
        <xdr:cNvPr id="38" name="check10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/>
        </xdr:cNvSpPr>
      </xdr:nvSpPr>
      <xdr:spPr>
        <a:xfrm>
          <a:off x="10462592" y="4588564"/>
          <a:ext cx="35052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24</xdr:row>
      <xdr:rowOff>18552</xdr:rowOff>
    </xdr:to>
    <xdr:sp macro="" textlink="">
      <xdr:nvSpPr>
        <xdr:cNvPr id="39" name="check9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/>
        </xdr:cNvSpPr>
      </xdr:nvSpPr>
      <xdr:spPr>
        <a:xfrm>
          <a:off x="9532952" y="55410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22</xdr:row>
      <xdr:rowOff>18551</xdr:rowOff>
    </xdr:to>
    <xdr:sp macro="" textlink="">
      <xdr:nvSpPr>
        <xdr:cNvPr id="40" name="check8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spect="1"/>
        </xdr:cNvSpPr>
      </xdr:nvSpPr>
      <xdr:spPr>
        <a:xfrm>
          <a:off x="9532952" y="51600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18</xdr:row>
      <xdr:rowOff>268024</xdr:rowOff>
    </xdr:from>
    <xdr:to>
      <xdr:col>14</xdr:col>
      <xdr:colOff>617552</xdr:colOff>
      <xdr:row>20</xdr:row>
      <xdr:rowOff>10932</xdr:rowOff>
    </xdr:to>
    <xdr:sp macro="" textlink="">
      <xdr:nvSpPr>
        <xdr:cNvPr id="41" name="check7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spect="1"/>
        </xdr:cNvSpPr>
      </xdr:nvSpPr>
      <xdr:spPr>
        <a:xfrm>
          <a:off x="9532952" y="4588564"/>
          <a:ext cx="36576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24</xdr:row>
      <xdr:rowOff>18552</xdr:rowOff>
    </xdr:to>
    <xdr:sp macro="" textlink="">
      <xdr:nvSpPr>
        <xdr:cNvPr id="42" name="check6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spect="1"/>
        </xdr:cNvSpPr>
      </xdr:nvSpPr>
      <xdr:spPr>
        <a:xfrm>
          <a:off x="9532952" y="55410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21</xdr:row>
      <xdr:rowOff>275644</xdr:rowOff>
    </xdr:from>
    <xdr:to>
      <xdr:col>14</xdr:col>
      <xdr:colOff>617552</xdr:colOff>
      <xdr:row>22</xdr:row>
      <xdr:rowOff>18551</xdr:rowOff>
    </xdr:to>
    <xdr:sp macro="" textlink="">
      <xdr:nvSpPr>
        <xdr:cNvPr id="43" name="check5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spect="1"/>
        </xdr:cNvSpPr>
      </xdr:nvSpPr>
      <xdr:spPr>
        <a:xfrm>
          <a:off x="9532952" y="51600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23</xdr:row>
      <xdr:rowOff>275644</xdr:rowOff>
    </xdr:from>
    <xdr:to>
      <xdr:col>11</xdr:col>
      <xdr:colOff>617552</xdr:colOff>
      <xdr:row>24</xdr:row>
      <xdr:rowOff>18552</xdr:rowOff>
    </xdr:to>
    <xdr:sp macro="" textlink="">
      <xdr:nvSpPr>
        <xdr:cNvPr id="44" name="check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spect="1"/>
        </xdr:cNvSpPr>
      </xdr:nvSpPr>
      <xdr:spPr>
        <a:xfrm>
          <a:off x="7315532" y="55410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21</xdr:row>
      <xdr:rowOff>275644</xdr:rowOff>
    </xdr:from>
    <xdr:to>
      <xdr:col>11</xdr:col>
      <xdr:colOff>617552</xdr:colOff>
      <xdr:row>22</xdr:row>
      <xdr:rowOff>18551</xdr:rowOff>
    </xdr:to>
    <xdr:sp macro="" textlink="">
      <xdr:nvSpPr>
        <xdr:cNvPr id="45" name="check2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spect="1"/>
        </xdr:cNvSpPr>
      </xdr:nvSpPr>
      <xdr:spPr>
        <a:xfrm>
          <a:off x="7315532" y="516006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18</xdr:row>
      <xdr:rowOff>265161</xdr:rowOff>
    </xdr:from>
    <xdr:to>
      <xdr:col>11</xdr:col>
      <xdr:colOff>609539</xdr:colOff>
      <xdr:row>20</xdr:row>
      <xdr:rowOff>8069</xdr:rowOff>
    </xdr:to>
    <xdr:sp macro="" textlink="">
      <xdr:nvSpPr>
        <xdr:cNvPr id="46" name="check1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spect="1"/>
        </xdr:cNvSpPr>
      </xdr:nvSpPr>
      <xdr:spPr>
        <a:xfrm>
          <a:off x="7307519" y="4585701"/>
          <a:ext cx="365760" cy="20010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251792</xdr:colOff>
      <xdr:row>23</xdr:row>
      <xdr:rowOff>275644</xdr:rowOff>
    </xdr:from>
    <xdr:to>
      <xdr:col>15</xdr:col>
      <xdr:colOff>617552</xdr:colOff>
      <xdr:row>25</xdr:row>
      <xdr:rowOff>0</xdr:rowOff>
    </xdr:to>
    <xdr:sp macro="" textlink="">
      <xdr:nvSpPr>
        <xdr:cNvPr id="47" name="check12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Aspect="1"/>
        </xdr:cNvSpPr>
      </xdr:nvSpPr>
      <xdr:spPr>
        <a:xfrm>
          <a:off x="10462592" y="5541064"/>
          <a:ext cx="350520" cy="379676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25</xdr:row>
      <xdr:rowOff>0</xdr:rowOff>
    </xdr:to>
    <xdr:sp macro="" textlink="">
      <xdr:nvSpPr>
        <xdr:cNvPr id="48" name="check9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spect="1"/>
        </xdr:cNvSpPr>
      </xdr:nvSpPr>
      <xdr:spPr>
        <a:xfrm>
          <a:off x="9532952" y="5541064"/>
          <a:ext cx="365760" cy="379676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23</xdr:row>
      <xdr:rowOff>275644</xdr:rowOff>
    </xdr:from>
    <xdr:to>
      <xdr:col>14</xdr:col>
      <xdr:colOff>617552</xdr:colOff>
      <xdr:row>25</xdr:row>
      <xdr:rowOff>0</xdr:rowOff>
    </xdr:to>
    <xdr:sp macro="" textlink="">
      <xdr:nvSpPr>
        <xdr:cNvPr id="49" name="check6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spect="1"/>
        </xdr:cNvSpPr>
      </xdr:nvSpPr>
      <xdr:spPr>
        <a:xfrm>
          <a:off x="9532952" y="5541064"/>
          <a:ext cx="365760" cy="379676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23</xdr:row>
      <xdr:rowOff>275644</xdr:rowOff>
    </xdr:from>
    <xdr:to>
      <xdr:col>11</xdr:col>
      <xdr:colOff>617552</xdr:colOff>
      <xdr:row>25</xdr:row>
      <xdr:rowOff>0</xdr:rowOff>
    </xdr:to>
    <xdr:sp macro="" textlink="">
      <xdr:nvSpPr>
        <xdr:cNvPr id="50" name="check3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Aspect="1"/>
        </xdr:cNvSpPr>
      </xdr:nvSpPr>
      <xdr:spPr>
        <a:xfrm>
          <a:off x="7315532" y="5541064"/>
          <a:ext cx="365760" cy="379676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36</xdr:row>
      <xdr:rowOff>275644</xdr:rowOff>
    </xdr:from>
    <xdr:to>
      <xdr:col>14</xdr:col>
      <xdr:colOff>617552</xdr:colOff>
      <xdr:row>37</xdr:row>
      <xdr:rowOff>18552</xdr:rowOff>
    </xdr:to>
    <xdr:sp macro="[0]!strapping_stringers" textlink="">
      <xdr:nvSpPr>
        <xdr:cNvPr id="121" name="check6" hidden="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>
          <a:spLocks noChangeAspect="1"/>
        </xdr:cNvSpPr>
      </xdr:nvSpPr>
      <xdr:spPr>
        <a:xfrm>
          <a:off x="10218752" y="18453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34</xdr:row>
      <xdr:rowOff>275644</xdr:rowOff>
    </xdr:from>
    <xdr:to>
      <xdr:col>14</xdr:col>
      <xdr:colOff>617552</xdr:colOff>
      <xdr:row>35</xdr:row>
      <xdr:rowOff>18551</xdr:rowOff>
    </xdr:to>
    <xdr:sp macro="[0]!strapping_bottom" textlink="">
      <xdr:nvSpPr>
        <xdr:cNvPr id="123" name="check5" hidden="1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>
          <a:spLocks noChangeAspect="1"/>
        </xdr:cNvSpPr>
      </xdr:nvSpPr>
      <xdr:spPr>
        <a:xfrm>
          <a:off x="10218752" y="147960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36</xdr:row>
      <xdr:rowOff>275644</xdr:rowOff>
    </xdr:from>
    <xdr:to>
      <xdr:col>11</xdr:col>
      <xdr:colOff>617552</xdr:colOff>
      <xdr:row>37</xdr:row>
      <xdr:rowOff>18552</xdr:rowOff>
    </xdr:to>
    <xdr:sp macro="[0]!nail_gun_stringers" textlink="">
      <xdr:nvSpPr>
        <xdr:cNvPr id="124" name="check3" hidden="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>
          <a:spLocks noChangeAspect="1"/>
        </xdr:cNvSpPr>
      </xdr:nvSpPr>
      <xdr:spPr>
        <a:xfrm>
          <a:off x="8466152" y="1845364"/>
          <a:ext cx="365760" cy="1722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251792</xdr:colOff>
      <xdr:row>34</xdr:row>
      <xdr:rowOff>275644</xdr:rowOff>
    </xdr:from>
    <xdr:to>
      <xdr:col>11</xdr:col>
      <xdr:colOff>617552</xdr:colOff>
      <xdr:row>35</xdr:row>
      <xdr:rowOff>18551</xdr:rowOff>
    </xdr:to>
    <xdr:sp macro="[0]!nail_gun_bottom" textlink="">
      <xdr:nvSpPr>
        <xdr:cNvPr id="125" name="check2" hidden="1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>
          <a:spLocks noChangeAspect="1"/>
        </xdr:cNvSpPr>
      </xdr:nvSpPr>
      <xdr:spPr>
        <a:xfrm>
          <a:off x="8466152" y="1479604"/>
          <a:ext cx="365760" cy="17227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[0]!nail_gun_top" textlink="">
      <xdr:nvSpPr>
        <xdr:cNvPr id="126" name="check1" hidden="1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30</xdr:row>
      <xdr:rowOff>265161</xdr:rowOff>
    </xdr:from>
    <xdr:to>
      <xdr:col>11</xdr:col>
      <xdr:colOff>609539</xdr:colOff>
      <xdr:row>32</xdr:row>
      <xdr:rowOff>8069</xdr:rowOff>
    </xdr:to>
    <xdr:sp macro="[0]!nail_gun_top" textlink="">
      <xdr:nvSpPr>
        <xdr:cNvPr id="127" name="check1" hidden="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>
          <a:spLocks noChangeAspect="1"/>
        </xdr:cNvSpPr>
      </xdr:nvSpPr>
      <xdr:spPr>
        <a:xfrm>
          <a:off x="8458139" y="630921"/>
          <a:ext cx="365760" cy="3067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[0]!nail_gun_top" textlink="">
      <xdr:nvSpPr>
        <xdr:cNvPr id="128" name="check1" hidden="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[0]!nail_gun_top" textlink="">
      <xdr:nvSpPr>
        <xdr:cNvPr id="129" name="check1" hidden="1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[0]!nail_gun_top" textlink="">
      <xdr:nvSpPr>
        <xdr:cNvPr id="130" name="check1" hidden="1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[0]!nail_gun_top" textlink="">
      <xdr:nvSpPr>
        <xdr:cNvPr id="131" name="check1" hidden="1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[0]!nail_gun_top" textlink="">
      <xdr:nvSpPr>
        <xdr:cNvPr id="132" name="check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[0]!nail_gun_top" textlink="">
      <xdr:nvSpPr>
        <xdr:cNvPr id="133" name="check1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[0]!nail_gun_top" textlink="">
      <xdr:nvSpPr>
        <xdr:cNvPr id="134" name="check1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[0]!nail_gun_top" textlink="">
      <xdr:nvSpPr>
        <xdr:cNvPr id="135" name="check1" hidden="1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[0]!nail_gun_top" textlink="">
      <xdr:nvSpPr>
        <xdr:cNvPr id="136" name="check1" hidden="1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[0]!nail_gun_top" textlink="">
      <xdr:nvSpPr>
        <xdr:cNvPr id="137" name="check1" hidden="1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251792</xdr:colOff>
      <xdr:row>36</xdr:row>
      <xdr:rowOff>275644</xdr:rowOff>
    </xdr:from>
    <xdr:to>
      <xdr:col>14</xdr:col>
      <xdr:colOff>617552</xdr:colOff>
      <xdr:row>37</xdr:row>
      <xdr:rowOff>18552</xdr:rowOff>
    </xdr:to>
    <xdr:sp macro="" textlink="">
      <xdr:nvSpPr>
        <xdr:cNvPr id="138" name="check6" hidden="1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>
          <a:spLocks noChangeAspect="1"/>
        </xdr:cNvSpPr>
      </xdr:nvSpPr>
      <xdr:spPr>
        <a:xfrm>
          <a:off x="10218752" y="1845364"/>
          <a:ext cx="365760" cy="1722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251792</xdr:colOff>
      <xdr:row>34</xdr:row>
      <xdr:rowOff>275644</xdr:rowOff>
    </xdr:from>
    <xdr:to>
      <xdr:col>14</xdr:col>
      <xdr:colOff>617552</xdr:colOff>
      <xdr:row>35</xdr:row>
      <xdr:rowOff>18551</xdr:rowOff>
    </xdr:to>
    <xdr:sp macro="" textlink="">
      <xdr:nvSpPr>
        <xdr:cNvPr id="139" name="check5" hidden="1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>
          <a:spLocks noChangeAspect="1"/>
        </xdr:cNvSpPr>
      </xdr:nvSpPr>
      <xdr:spPr>
        <a:xfrm>
          <a:off x="10218752" y="1479604"/>
          <a:ext cx="365760" cy="17227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251792</xdr:colOff>
      <xdr:row>36</xdr:row>
      <xdr:rowOff>275644</xdr:rowOff>
    </xdr:from>
    <xdr:to>
      <xdr:col>11</xdr:col>
      <xdr:colOff>617552</xdr:colOff>
      <xdr:row>37</xdr:row>
      <xdr:rowOff>18552</xdr:rowOff>
    </xdr:to>
    <xdr:sp macro="" textlink="">
      <xdr:nvSpPr>
        <xdr:cNvPr id="140" name="check3" hidden="1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>
          <a:spLocks noChangeAspect="1"/>
        </xdr:cNvSpPr>
      </xdr:nvSpPr>
      <xdr:spPr>
        <a:xfrm>
          <a:off x="8466152" y="1845364"/>
          <a:ext cx="365760" cy="1722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251792</xdr:colOff>
      <xdr:row>34</xdr:row>
      <xdr:rowOff>275644</xdr:rowOff>
    </xdr:from>
    <xdr:to>
      <xdr:col>11</xdr:col>
      <xdr:colOff>617552</xdr:colOff>
      <xdr:row>35</xdr:row>
      <xdr:rowOff>18551</xdr:rowOff>
    </xdr:to>
    <xdr:sp macro="" textlink="">
      <xdr:nvSpPr>
        <xdr:cNvPr id="141" name="check2" hidden="1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>
          <a:spLocks noChangeAspect="1"/>
        </xdr:cNvSpPr>
      </xdr:nvSpPr>
      <xdr:spPr>
        <a:xfrm>
          <a:off x="8466152" y="1479604"/>
          <a:ext cx="365760" cy="17227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42" name="check1" hidden="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30</xdr:row>
      <xdr:rowOff>265161</xdr:rowOff>
    </xdr:from>
    <xdr:to>
      <xdr:col>11</xdr:col>
      <xdr:colOff>609539</xdr:colOff>
      <xdr:row>32</xdr:row>
      <xdr:rowOff>8069</xdr:rowOff>
    </xdr:to>
    <xdr:sp macro="" textlink="">
      <xdr:nvSpPr>
        <xdr:cNvPr id="143" name="check1" hidden="1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>
          <a:spLocks noChangeAspect="1"/>
        </xdr:cNvSpPr>
      </xdr:nvSpPr>
      <xdr:spPr>
        <a:xfrm>
          <a:off x="8458139" y="630921"/>
          <a:ext cx="365760" cy="3067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44" name="check1" hidden="1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45" name="check1" hidden="1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46" name="check1" hidden="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47" name="check1" hidden="1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48" name="check1" hidden="1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" textlink="">
      <xdr:nvSpPr>
        <xdr:cNvPr id="149" name="check1" hidden="1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50" name="check1" hidden="1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51" name="check1" hidden="1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52" name="check1" hidden="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" textlink="">
      <xdr:nvSpPr>
        <xdr:cNvPr id="153" name="check1" hidden="1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251792</xdr:colOff>
      <xdr:row>36</xdr:row>
      <xdr:rowOff>275644</xdr:rowOff>
    </xdr:from>
    <xdr:to>
      <xdr:col>11</xdr:col>
      <xdr:colOff>617552</xdr:colOff>
      <xdr:row>37</xdr:row>
      <xdr:rowOff>18552</xdr:rowOff>
    </xdr:to>
    <xdr:sp macro="" textlink="">
      <xdr:nvSpPr>
        <xdr:cNvPr id="154" name="check3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>
          <a:spLocks noChangeAspect="1"/>
        </xdr:cNvSpPr>
      </xdr:nvSpPr>
      <xdr:spPr>
        <a:xfrm>
          <a:off x="8466152" y="1845364"/>
          <a:ext cx="365760" cy="1722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251792</xdr:colOff>
      <xdr:row>34</xdr:row>
      <xdr:rowOff>275644</xdr:rowOff>
    </xdr:from>
    <xdr:to>
      <xdr:col>11</xdr:col>
      <xdr:colOff>617552</xdr:colOff>
      <xdr:row>35</xdr:row>
      <xdr:rowOff>18551</xdr:rowOff>
    </xdr:to>
    <xdr:sp macro="" textlink="">
      <xdr:nvSpPr>
        <xdr:cNvPr id="155" name="check2" hidden="1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>
          <a:spLocks noChangeAspect="1"/>
        </xdr:cNvSpPr>
      </xdr:nvSpPr>
      <xdr:spPr>
        <a:xfrm>
          <a:off x="8466152" y="1479604"/>
          <a:ext cx="365760" cy="17227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56" name="check1" hidden="1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30</xdr:row>
      <xdr:rowOff>265161</xdr:rowOff>
    </xdr:from>
    <xdr:to>
      <xdr:col>11</xdr:col>
      <xdr:colOff>609539</xdr:colOff>
      <xdr:row>32</xdr:row>
      <xdr:rowOff>8069</xdr:rowOff>
    </xdr:to>
    <xdr:sp macro="" textlink="">
      <xdr:nvSpPr>
        <xdr:cNvPr id="157" name="check1" hidden="1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>
          <a:spLocks noChangeAspect="1"/>
        </xdr:cNvSpPr>
      </xdr:nvSpPr>
      <xdr:spPr>
        <a:xfrm>
          <a:off x="8458139" y="630921"/>
          <a:ext cx="365760" cy="3067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58" name="check1" hidden="1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59" name="check1" hidden="1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251792</xdr:colOff>
      <xdr:row>36</xdr:row>
      <xdr:rowOff>275644</xdr:rowOff>
    </xdr:from>
    <xdr:to>
      <xdr:col>14</xdr:col>
      <xdr:colOff>617552</xdr:colOff>
      <xdr:row>37</xdr:row>
      <xdr:rowOff>18552</xdr:rowOff>
    </xdr:to>
    <xdr:sp macro="" textlink="">
      <xdr:nvSpPr>
        <xdr:cNvPr id="160" name="check12" hidden="1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SpPr>
          <a:spLocks noChangeAspect="1"/>
        </xdr:cNvSpPr>
      </xdr:nvSpPr>
      <xdr:spPr>
        <a:xfrm>
          <a:off x="10218752" y="1845364"/>
          <a:ext cx="365760" cy="1722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251792</xdr:colOff>
      <xdr:row>34</xdr:row>
      <xdr:rowOff>275644</xdr:rowOff>
    </xdr:from>
    <xdr:to>
      <xdr:col>14</xdr:col>
      <xdr:colOff>617552</xdr:colOff>
      <xdr:row>35</xdr:row>
      <xdr:rowOff>18551</xdr:rowOff>
    </xdr:to>
    <xdr:sp macro="" textlink="">
      <xdr:nvSpPr>
        <xdr:cNvPr id="161" name="check11" hidden="1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>
          <a:spLocks noChangeAspect="1"/>
        </xdr:cNvSpPr>
      </xdr:nvSpPr>
      <xdr:spPr>
        <a:xfrm>
          <a:off x="10218752" y="1479604"/>
          <a:ext cx="365760" cy="17227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251792</xdr:colOff>
      <xdr:row>31</xdr:row>
      <xdr:rowOff>268024</xdr:rowOff>
    </xdr:from>
    <xdr:to>
      <xdr:col>14</xdr:col>
      <xdr:colOff>617552</xdr:colOff>
      <xdr:row>33</xdr:row>
      <xdr:rowOff>10932</xdr:rowOff>
    </xdr:to>
    <xdr:sp macro="" textlink="">
      <xdr:nvSpPr>
        <xdr:cNvPr id="162" name="check10" hidden="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>
          <a:spLocks noChangeAspect="1"/>
        </xdr:cNvSpPr>
      </xdr:nvSpPr>
      <xdr:spPr>
        <a:xfrm>
          <a:off x="10218752" y="930964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63" name="check1" hidden="1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64" name="check1" hidden="1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65" name="check1" hidden="1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" textlink="">
      <xdr:nvSpPr>
        <xdr:cNvPr id="166" name="check1" hidden="1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31</xdr:row>
      <xdr:rowOff>265161</xdr:rowOff>
    </xdr:from>
    <xdr:to>
      <xdr:col>11</xdr:col>
      <xdr:colOff>609539</xdr:colOff>
      <xdr:row>33</xdr:row>
      <xdr:rowOff>8069</xdr:rowOff>
    </xdr:to>
    <xdr:sp macro="" textlink="">
      <xdr:nvSpPr>
        <xdr:cNvPr id="167" name="check1" hidden="1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>
          <a:spLocks noChangeAspect="1"/>
        </xdr:cNvSpPr>
      </xdr:nvSpPr>
      <xdr:spPr>
        <a:xfrm>
          <a:off x="8458139" y="92810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32</xdr:row>
      <xdr:rowOff>265161</xdr:rowOff>
    </xdr:from>
    <xdr:to>
      <xdr:col>11</xdr:col>
      <xdr:colOff>609539</xdr:colOff>
      <xdr:row>34</xdr:row>
      <xdr:rowOff>8069</xdr:rowOff>
    </xdr:to>
    <xdr:sp macro="" textlink="">
      <xdr:nvSpPr>
        <xdr:cNvPr id="168" name="check1" hidden="1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>
          <a:spLocks noChangeAspect="1"/>
        </xdr:cNvSpPr>
      </xdr:nvSpPr>
      <xdr:spPr>
        <a:xfrm>
          <a:off x="8458139" y="111098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33</xdr:row>
      <xdr:rowOff>265161</xdr:rowOff>
    </xdr:from>
    <xdr:to>
      <xdr:col>11</xdr:col>
      <xdr:colOff>609539</xdr:colOff>
      <xdr:row>35</xdr:row>
      <xdr:rowOff>8069</xdr:rowOff>
    </xdr:to>
    <xdr:sp macro="" textlink="">
      <xdr:nvSpPr>
        <xdr:cNvPr id="169" name="check1" hidden="1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>
          <a:spLocks noChangeAspect="1"/>
        </xdr:cNvSpPr>
      </xdr:nvSpPr>
      <xdr:spPr>
        <a:xfrm>
          <a:off x="8458139" y="129386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243779</xdr:colOff>
      <xdr:row>34</xdr:row>
      <xdr:rowOff>265161</xdr:rowOff>
    </xdr:from>
    <xdr:to>
      <xdr:col>11</xdr:col>
      <xdr:colOff>609539</xdr:colOff>
      <xdr:row>36</xdr:row>
      <xdr:rowOff>8069</xdr:rowOff>
    </xdr:to>
    <xdr:sp macro="" textlink="">
      <xdr:nvSpPr>
        <xdr:cNvPr id="170" name="check1" hidden="1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>
          <a:spLocks noChangeAspect="1"/>
        </xdr:cNvSpPr>
      </xdr:nvSpPr>
      <xdr:spPr>
        <a:xfrm>
          <a:off x="8458139" y="1476741"/>
          <a:ext cx="365760" cy="192488"/>
        </a:xfrm>
        <a:prstGeom prst="mathMultiply">
          <a:avLst>
            <a:gd name="adj1" fmla="val 12409"/>
          </a:avLst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0D0F-44C4-4DE1-9397-1A5AC9213424}">
  <sheetPr codeName="Sheet2">
    <pageSetUpPr fitToPage="1"/>
  </sheetPr>
  <dimension ref="A1:AF58"/>
  <sheetViews>
    <sheetView tabSelected="1" zoomScale="86" zoomScaleNormal="86" zoomScaleSheetLayoutView="70" zoomScalePageLayoutView="30" workbookViewId="0">
      <selection activeCell="L19" sqref="L19"/>
    </sheetView>
  </sheetViews>
  <sheetFormatPr defaultRowHeight="14.4" x14ac:dyDescent="0.3"/>
  <cols>
    <col min="1" max="1" width="3.6640625" customWidth="1"/>
    <col min="2" max="2" width="12.5546875" customWidth="1"/>
    <col min="3" max="3" width="7.6640625" customWidth="1"/>
    <col min="4" max="4" width="3.6640625" customWidth="1"/>
    <col min="5" max="17" width="13.6640625" customWidth="1"/>
    <col min="18" max="25" width="12.6640625" customWidth="1"/>
    <col min="27" max="27" width="1.6640625" customWidth="1"/>
    <col min="28" max="32" width="8.88671875" hidden="1" customWidth="1"/>
  </cols>
  <sheetData>
    <row r="1" spans="1:30" x14ac:dyDescent="0.3">
      <c r="G1" s="51"/>
      <c r="H1" s="51"/>
      <c r="J1" s="51"/>
      <c r="K1" s="51"/>
      <c r="L1" s="51"/>
      <c r="M1" s="51"/>
      <c r="N1" s="52"/>
      <c r="O1" s="52"/>
      <c r="P1" s="52"/>
      <c r="Q1" s="52"/>
      <c r="R1" s="52"/>
      <c r="S1" s="52"/>
      <c r="T1" s="12"/>
      <c r="U1" s="12"/>
      <c r="V1" s="12"/>
    </row>
    <row r="2" spans="1:30" ht="15" thickBot="1" x14ac:dyDescent="0.35">
      <c r="B2" s="188" t="s">
        <v>42</v>
      </c>
      <c r="C2" s="426"/>
      <c r="D2" s="426"/>
      <c r="E2" s="426"/>
      <c r="F2" s="188" t="s">
        <v>43</v>
      </c>
      <c r="G2" s="442"/>
      <c r="H2" s="442"/>
      <c r="I2" s="188" t="s">
        <v>45</v>
      </c>
      <c r="J2" s="187"/>
      <c r="K2" s="188" t="s">
        <v>47</v>
      </c>
      <c r="L2" s="187"/>
      <c r="M2" s="188" t="s">
        <v>46</v>
      </c>
      <c r="N2" s="187"/>
      <c r="O2" s="188" t="s">
        <v>44</v>
      </c>
      <c r="P2" s="187"/>
      <c r="Q2" s="52"/>
      <c r="R2" s="52"/>
      <c r="S2" s="52"/>
      <c r="T2" s="12"/>
      <c r="U2" s="12"/>
      <c r="V2" s="12"/>
    </row>
    <row r="3" spans="1:30" ht="15" thickBot="1" x14ac:dyDescent="0.35">
      <c r="J3" s="51"/>
      <c r="K3" s="51"/>
      <c r="L3" s="51"/>
      <c r="O3" s="52"/>
      <c r="P3" s="52"/>
      <c r="Q3" s="52"/>
      <c r="R3" s="52"/>
      <c r="S3" s="52"/>
      <c r="T3" s="12"/>
      <c r="U3" s="12"/>
      <c r="V3" s="12"/>
    </row>
    <row r="4" spans="1:30" ht="15" thickBot="1" x14ac:dyDescent="0.35">
      <c r="B4" s="389" t="s">
        <v>48</v>
      </c>
      <c r="C4" s="390"/>
      <c r="D4" s="390"/>
      <c r="E4" s="390"/>
      <c r="F4" s="390"/>
      <c r="G4" s="390"/>
      <c r="H4" s="390"/>
      <c r="I4" s="390"/>
      <c r="J4" s="390"/>
      <c r="K4" s="390"/>
      <c r="L4" s="390"/>
      <c r="M4" s="390"/>
      <c r="N4" s="390"/>
      <c r="O4" s="390"/>
      <c r="P4" s="449"/>
      <c r="V4" s="80"/>
      <c r="W4" s="80"/>
      <c r="X4" s="80"/>
    </row>
    <row r="5" spans="1:30" ht="14.4" customHeight="1" x14ac:dyDescent="0.3">
      <c r="A5" s="452"/>
      <c r="B5" s="427" t="s">
        <v>52</v>
      </c>
      <c r="C5" s="428"/>
      <c r="D5" s="454" t="s">
        <v>53</v>
      </c>
      <c r="E5" s="434" t="s">
        <v>110</v>
      </c>
      <c r="F5" s="456" t="s">
        <v>57</v>
      </c>
      <c r="G5" s="457"/>
      <c r="H5" s="458"/>
      <c r="I5" s="440" t="s">
        <v>40</v>
      </c>
      <c r="J5" s="450" t="s">
        <v>190</v>
      </c>
      <c r="K5" s="438" t="s">
        <v>191</v>
      </c>
      <c r="L5" s="445" t="s">
        <v>175</v>
      </c>
      <c r="M5" s="445" t="s">
        <v>188</v>
      </c>
      <c r="N5" s="445" t="s">
        <v>192</v>
      </c>
      <c r="O5" s="447" t="s">
        <v>116</v>
      </c>
      <c r="P5" s="436" t="s">
        <v>105</v>
      </c>
      <c r="W5" s="80"/>
      <c r="X5" s="80"/>
    </row>
    <row r="6" spans="1:30" ht="15" thickBot="1" x14ac:dyDescent="0.35">
      <c r="A6" s="452"/>
      <c r="B6" s="429"/>
      <c r="C6" s="430"/>
      <c r="D6" s="455"/>
      <c r="E6" s="435"/>
      <c r="F6" s="118" t="s">
        <v>28</v>
      </c>
      <c r="G6" s="119" t="s">
        <v>29</v>
      </c>
      <c r="H6" s="120" t="s">
        <v>30</v>
      </c>
      <c r="I6" s="441"/>
      <c r="J6" s="451"/>
      <c r="K6" s="439"/>
      <c r="L6" s="446"/>
      <c r="M6" s="446"/>
      <c r="N6" s="446"/>
      <c r="O6" s="448"/>
      <c r="P6" s="437"/>
      <c r="W6" s="80"/>
      <c r="X6" s="80"/>
      <c r="Z6" s="11"/>
      <c r="AA6" s="11"/>
      <c r="AB6" s="11"/>
      <c r="AC6" s="11"/>
      <c r="AD6" s="11"/>
    </row>
    <row r="7" spans="1:30" ht="15" customHeight="1" x14ac:dyDescent="0.3">
      <c r="A7" s="452"/>
      <c r="B7" s="443" t="s">
        <v>25</v>
      </c>
      <c r="C7" s="431" t="s">
        <v>26</v>
      </c>
      <c r="D7" s="121">
        <f>IF(E7&gt;"",1,0)</f>
        <v>0</v>
      </c>
      <c r="E7" s="122"/>
      <c r="F7" s="123"/>
      <c r="G7" s="123"/>
      <c r="H7" s="123"/>
      <c r="I7" s="124"/>
      <c r="J7" s="359">
        <f>F7*G7*H7*I7/144</f>
        <v>0</v>
      </c>
      <c r="K7" s="351">
        <f>I7*'GROSS LUMBER OUT'!G3</f>
        <v>0</v>
      </c>
      <c r="L7" s="341">
        <f>'GROSS LUMBER OUT'!H3</f>
        <v>0</v>
      </c>
      <c r="M7" s="341">
        <f>K7*SUM('GROSS LUMBER OUT'!I3:J3)</f>
        <v>0</v>
      </c>
      <c r="N7" s="341">
        <f>IF(K7&gt;0,K7/L7+M7,0)</f>
        <v>0</v>
      </c>
      <c r="O7" s="190">
        <f>IF(I7&gt;0,IF(E7="PLY",VLOOKUP(F7,'LUMBER COST REF'!$A$31:$B$35,2),IF(AND(E7&gt;"",G7&lt;5.5),VLOOKUP(E7,'LUMBER COST REF'!$A$18:$C$27,2),IF(E7&gt;"",VLOOKUP(E7,'LUMBER COST REF'!$A$18:$C$27,3),0))),0)</f>
        <v>0</v>
      </c>
      <c r="P7" s="191">
        <f>IF(N7&gt;0,N7*O7/1000,0)</f>
        <v>0</v>
      </c>
      <c r="W7" s="84"/>
      <c r="X7" s="84"/>
    </row>
    <row r="8" spans="1:30" ht="15" customHeight="1" x14ac:dyDescent="0.3">
      <c r="A8" s="452"/>
      <c r="B8" s="444"/>
      <c r="C8" s="432"/>
      <c r="D8" s="125">
        <f>IF(E8&gt;"",MAX(D7+1),0)</f>
        <v>0</v>
      </c>
      <c r="E8" s="126"/>
      <c r="F8" s="127"/>
      <c r="G8" s="127"/>
      <c r="H8" s="127"/>
      <c r="I8" s="128"/>
      <c r="J8" s="360">
        <f t="shared" ref="J8:J13" si="0">F8*G8*H8*I8/144</f>
        <v>0</v>
      </c>
      <c r="K8" s="352">
        <f>I8*'GROSS LUMBER OUT'!G4</f>
        <v>0</v>
      </c>
      <c r="L8" s="342">
        <f>'GROSS LUMBER OUT'!H4</f>
        <v>0</v>
      </c>
      <c r="M8" s="342">
        <f>K8*SUM('GROSS LUMBER OUT'!I4:J4)</f>
        <v>0</v>
      </c>
      <c r="N8" s="342">
        <f t="shared" ref="N8:N13" si="1">IF(K8&gt;0,K8/L8+M8,0)</f>
        <v>0</v>
      </c>
      <c r="O8" s="192">
        <f>IF(I8&gt;0,IF(E8="PLY",VLOOKUP(F8,'LUMBER COST REF'!$A$31:$B$35,2),IF(AND(E8&gt;"",G8&lt;5.5),VLOOKUP(E8,'LUMBER COST REF'!$A$18:$C$27,2),IF(E8&gt;"",VLOOKUP(E8,'LUMBER COST REF'!$A$18:$C$27,3),0))),0)</f>
        <v>0</v>
      </c>
      <c r="P8" s="193">
        <f t="shared" ref="P8:P14" si="2">IF(N8&gt;0,N8*O8/1000,0)</f>
        <v>0</v>
      </c>
      <c r="W8" s="84"/>
      <c r="X8" s="84"/>
    </row>
    <row r="9" spans="1:30" ht="15" customHeight="1" thickBot="1" x14ac:dyDescent="0.35">
      <c r="A9" s="452"/>
      <c r="B9" s="444"/>
      <c r="C9" s="433"/>
      <c r="D9" s="129">
        <f>IF(E9&gt;"",MAX($D$7:D8)+1,0)</f>
        <v>0</v>
      </c>
      <c r="E9" s="130"/>
      <c r="F9" s="131"/>
      <c r="G9" s="131"/>
      <c r="H9" s="131"/>
      <c r="I9" s="132"/>
      <c r="J9" s="361">
        <f t="shared" si="0"/>
        <v>0</v>
      </c>
      <c r="K9" s="353">
        <f>I9*'GROSS LUMBER OUT'!G5</f>
        <v>0</v>
      </c>
      <c r="L9" s="343">
        <f>'GROSS LUMBER OUT'!H5</f>
        <v>0</v>
      </c>
      <c r="M9" s="343">
        <f>K9*SUM('GROSS LUMBER OUT'!I5:J5)</f>
        <v>0</v>
      </c>
      <c r="N9" s="343">
        <f t="shared" si="1"/>
        <v>0</v>
      </c>
      <c r="O9" s="194">
        <f>IF(I9&gt;0,IF(E9="PLY",VLOOKUP(F9,'LUMBER COST REF'!$A$31:$B$35,2),IF(AND(E9&gt;"",G9&lt;5.5),VLOOKUP(E9,'LUMBER COST REF'!$A$18:$C$27,2),IF(E9&gt;"",VLOOKUP(E9,'LUMBER COST REF'!$A$18:$C$27,3),0))),0)</f>
        <v>0</v>
      </c>
      <c r="P9" s="195">
        <f t="shared" si="2"/>
        <v>0</v>
      </c>
      <c r="W9" s="84"/>
      <c r="X9" s="84"/>
    </row>
    <row r="10" spans="1:30" ht="15" customHeight="1" x14ac:dyDescent="0.3">
      <c r="A10" s="452"/>
      <c r="B10" s="444"/>
      <c r="C10" s="433" t="s">
        <v>27</v>
      </c>
      <c r="D10" s="133">
        <f>IF(E10&gt;"",MAX($D$7:D9)+1,0)</f>
        <v>0</v>
      </c>
      <c r="E10" s="134"/>
      <c r="F10" s="135"/>
      <c r="G10" s="127"/>
      <c r="H10" s="135"/>
      <c r="I10" s="136"/>
      <c r="J10" s="362">
        <f t="shared" si="0"/>
        <v>0</v>
      </c>
      <c r="K10" s="354">
        <f>I10*'GROSS LUMBER OUT'!G6</f>
        <v>0</v>
      </c>
      <c r="L10" s="344">
        <f>'GROSS LUMBER OUT'!H6</f>
        <v>0</v>
      </c>
      <c r="M10" s="344">
        <f>K10*SUM('GROSS LUMBER OUT'!I6:J6)</f>
        <v>0</v>
      </c>
      <c r="N10" s="344">
        <f t="shared" si="1"/>
        <v>0</v>
      </c>
      <c r="O10" s="196">
        <f>IF(I10&gt;0,IF(E10="PLY",VLOOKUP(F10,'LUMBER COST REF'!$A$31:$B$35,2),IF(AND(E10&gt;"",G10&lt;5.5),VLOOKUP(E10,'LUMBER COST REF'!$A$18:$C$27,2),IF(E10&gt;"",VLOOKUP(E10,'LUMBER COST REF'!$A$18:$C$27,3),0))),0)</f>
        <v>0</v>
      </c>
      <c r="P10" s="197">
        <f t="shared" si="2"/>
        <v>0</v>
      </c>
      <c r="W10" s="84"/>
      <c r="X10" s="84"/>
    </row>
    <row r="11" spans="1:30" ht="15" customHeight="1" thickBot="1" x14ac:dyDescent="0.35">
      <c r="A11" s="452"/>
      <c r="B11" s="444"/>
      <c r="C11" s="472"/>
      <c r="D11" s="137">
        <f>IF(E11&gt;"",MAX($D$7:D10)+1,0)</f>
        <v>0</v>
      </c>
      <c r="E11" s="130"/>
      <c r="F11" s="131"/>
      <c r="G11" s="138"/>
      <c r="H11" s="131"/>
      <c r="I11" s="132"/>
      <c r="J11" s="363">
        <f t="shared" si="0"/>
        <v>0</v>
      </c>
      <c r="K11" s="355">
        <f>I11*'GROSS LUMBER OUT'!G7</f>
        <v>0</v>
      </c>
      <c r="L11" s="345">
        <f>'GROSS LUMBER OUT'!H7</f>
        <v>0</v>
      </c>
      <c r="M11" s="345">
        <f>K11*SUM('GROSS LUMBER OUT'!I7:J7)</f>
        <v>0</v>
      </c>
      <c r="N11" s="345">
        <f t="shared" si="1"/>
        <v>0</v>
      </c>
      <c r="O11" s="198">
        <f>IF(I11&gt;0,IF(E11="PLY",VLOOKUP(F11,'LUMBER COST REF'!$A$31:$B$35,2),IF(AND(E11&gt;"",G11&lt;5.5),VLOOKUP(E11,'LUMBER COST REF'!$A$18:$C$27,2),IF(E11&gt;"",VLOOKUP(E11,'LUMBER COST REF'!$A$18:$C$27,3),0))),0)</f>
        <v>0</v>
      </c>
      <c r="P11" s="199">
        <f t="shared" si="2"/>
        <v>0</v>
      </c>
      <c r="W11" s="84"/>
      <c r="X11" s="84"/>
    </row>
    <row r="12" spans="1:30" ht="15" customHeight="1" x14ac:dyDescent="0.3">
      <c r="A12" s="452"/>
      <c r="B12" s="443" t="s">
        <v>31</v>
      </c>
      <c r="C12" s="469"/>
      <c r="D12" s="133">
        <f>IF(E12&gt;"",MAX($D$7:D11)+1,0)</f>
        <v>0</v>
      </c>
      <c r="E12" s="122"/>
      <c r="F12" s="123"/>
      <c r="G12" s="123"/>
      <c r="H12" s="123"/>
      <c r="I12" s="124"/>
      <c r="J12" s="362">
        <f t="shared" si="0"/>
        <v>0</v>
      </c>
      <c r="K12" s="354">
        <f>I12*'GROSS LUMBER OUT'!G8</f>
        <v>0</v>
      </c>
      <c r="L12" s="344">
        <f>'GROSS LUMBER OUT'!H8</f>
        <v>0</v>
      </c>
      <c r="M12" s="344">
        <f>K12*SUM('GROSS LUMBER OUT'!I8:J8)</f>
        <v>0</v>
      </c>
      <c r="N12" s="344">
        <f t="shared" si="1"/>
        <v>0</v>
      </c>
      <c r="O12" s="196">
        <f>IF(I12&gt;0,IF(E12="PLY",VLOOKUP(F12,'LUMBER COST REF'!$A$31:$B$35,2),IF(AND(E12&gt;"",G12&lt;5.5),VLOOKUP(E12,'LUMBER COST REF'!$A$18:$C$27,2),IF(E12&gt;"",VLOOKUP(E12,'LUMBER COST REF'!$A$18:$C$27,3),0))),0)</f>
        <v>0</v>
      </c>
      <c r="P12" s="197">
        <f t="shared" si="2"/>
        <v>0</v>
      </c>
      <c r="W12" s="84"/>
      <c r="X12" s="84"/>
    </row>
    <row r="13" spans="1:30" ht="15" customHeight="1" thickBot="1" x14ac:dyDescent="0.35">
      <c r="A13" s="452"/>
      <c r="B13" s="470"/>
      <c r="C13" s="471"/>
      <c r="D13" s="139">
        <f>IF(E13&gt;"",MAX($D$7:D12)+1,0)</f>
        <v>0</v>
      </c>
      <c r="E13" s="130"/>
      <c r="F13" s="131"/>
      <c r="G13" s="131"/>
      <c r="H13" s="131"/>
      <c r="I13" s="316"/>
      <c r="J13" s="364">
        <f t="shared" si="0"/>
        <v>0</v>
      </c>
      <c r="K13" s="356">
        <f>I13*'GROSS LUMBER OUT'!G9</f>
        <v>0</v>
      </c>
      <c r="L13" s="346">
        <f>'GROSS LUMBER OUT'!H9</f>
        <v>0</v>
      </c>
      <c r="M13" s="346">
        <f>K13*SUM('GROSS LUMBER OUT'!I9:J9)</f>
        <v>0</v>
      </c>
      <c r="N13" s="346">
        <f t="shared" si="1"/>
        <v>0</v>
      </c>
      <c r="O13" s="200">
        <f>IF(I13&gt;0,IF(E13="PLY",VLOOKUP(F13,'LUMBER COST REF'!$A$31:$B$35,2),IF(AND(E13&gt;"",G13&lt;5.5),VLOOKUP(E13,'LUMBER COST REF'!$A$18:$C$27,2),IF(E13&gt;"",VLOOKUP(E13,'LUMBER COST REF'!$A$18:$C$27,3),0))),0)</f>
        <v>0</v>
      </c>
      <c r="P13" s="201">
        <f t="shared" si="2"/>
        <v>0</v>
      </c>
      <c r="W13" s="84"/>
      <c r="X13" s="84"/>
    </row>
    <row r="14" spans="1:30" ht="15" customHeight="1" thickBot="1" x14ac:dyDescent="0.35">
      <c r="B14" s="140"/>
      <c r="C14" s="140"/>
      <c r="D14" s="140"/>
      <c r="E14" s="141"/>
      <c r="F14" s="140"/>
      <c r="G14" s="140"/>
      <c r="H14" s="140"/>
      <c r="I14" s="357" t="s">
        <v>51</v>
      </c>
      <c r="J14" s="365">
        <f>SUM(J7:J13)</f>
        <v>0</v>
      </c>
      <c r="K14" s="366">
        <f>SUM(K7:K13)</f>
        <v>0</v>
      </c>
      <c r="L14" s="347">
        <f>IF(SUM($K$7:$K$13)&gt;0,($L$7*$K$7+$L$8*$K$8+$L$9*$K$9+$L$10*$K$10+$L$11*$K$11+$L$12*$K$12+$L$13*$K$13)/SUM($K$7:$K$13),0)</f>
        <v>0</v>
      </c>
      <c r="M14" s="347">
        <f>SUM(M7:M13)</f>
        <v>0</v>
      </c>
      <c r="N14" s="347">
        <f>SUM(N7:N13)</f>
        <v>0</v>
      </c>
      <c r="O14" s="367">
        <f>IF(SUM($K$7:$K$13)&gt;0,($O$7*$K$7+$O$8*$K$8+$O$9*$K$9+$O$10*$K$10+$O$11*$K$11+$O$12*$K$12+$O$13*$K$13)/SUM($K$7:$K$13),0)</f>
        <v>0</v>
      </c>
      <c r="P14" s="358">
        <f t="shared" si="2"/>
        <v>0</v>
      </c>
    </row>
    <row r="15" spans="1:30" ht="15" customHeight="1" thickBot="1" x14ac:dyDescent="0.35">
      <c r="A15" s="51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</row>
    <row r="16" spans="1:30" ht="15" thickBot="1" x14ac:dyDescent="0.35">
      <c r="B16" s="408" t="s">
        <v>133</v>
      </c>
      <c r="C16" s="409"/>
      <c r="D16" s="409"/>
      <c r="E16" s="409"/>
      <c r="F16" s="409"/>
      <c r="G16" s="409"/>
      <c r="H16" s="409"/>
      <c r="I16" s="409"/>
      <c r="J16" s="409"/>
      <c r="K16" s="409"/>
      <c r="L16" s="409"/>
      <c r="M16" s="409"/>
      <c r="N16" s="409"/>
      <c r="O16" s="409"/>
      <c r="P16" s="409"/>
      <c r="Q16" s="410"/>
    </row>
    <row r="17" spans="1:21" ht="15" customHeight="1" x14ac:dyDescent="0.3">
      <c r="A17" s="33"/>
      <c r="B17" s="460" t="s">
        <v>52</v>
      </c>
      <c r="C17" s="461"/>
      <c r="D17" s="459" t="s">
        <v>53</v>
      </c>
      <c r="E17" s="483" t="s">
        <v>89</v>
      </c>
      <c r="F17" s="484"/>
      <c r="G17" s="484"/>
      <c r="H17" s="484"/>
      <c r="I17" s="484"/>
      <c r="J17" s="484"/>
      <c r="K17" s="484"/>
      <c r="L17" s="404" t="s">
        <v>90</v>
      </c>
      <c r="M17" s="405"/>
      <c r="N17" s="379" t="s">
        <v>91</v>
      </c>
      <c r="O17" s="380"/>
      <c r="P17" s="380"/>
      <c r="Q17" s="381"/>
    </row>
    <row r="18" spans="1:21" ht="30" customHeight="1" thickBot="1" x14ac:dyDescent="0.35">
      <c r="A18" s="33"/>
      <c r="B18" s="395"/>
      <c r="C18" s="396"/>
      <c r="D18" s="398"/>
      <c r="E18" s="300" t="s">
        <v>63</v>
      </c>
      <c r="F18" s="301" t="s">
        <v>38</v>
      </c>
      <c r="G18" s="302" t="s">
        <v>189</v>
      </c>
      <c r="H18" s="301" t="s">
        <v>33</v>
      </c>
      <c r="I18" s="301" t="s">
        <v>34</v>
      </c>
      <c r="J18" s="301" t="s">
        <v>60</v>
      </c>
      <c r="K18" s="303" t="s">
        <v>36</v>
      </c>
      <c r="L18" s="304" t="s">
        <v>39</v>
      </c>
      <c r="M18" s="305" t="s">
        <v>102</v>
      </c>
      <c r="N18" s="306" t="s">
        <v>117</v>
      </c>
      <c r="O18" s="302" t="s">
        <v>83</v>
      </c>
      <c r="P18" s="301" t="s">
        <v>37</v>
      </c>
      <c r="Q18" s="307" t="s">
        <v>84</v>
      </c>
    </row>
    <row r="19" spans="1:21" ht="15" customHeight="1" x14ac:dyDescent="0.3">
      <c r="A19" s="33"/>
      <c r="B19" s="403" t="s">
        <v>25</v>
      </c>
      <c r="C19" s="453" t="s">
        <v>26</v>
      </c>
      <c r="D19" s="34">
        <f t="shared" ref="D19:D25" si="3">D7</f>
        <v>0</v>
      </c>
      <c r="E19" s="111"/>
      <c r="F19" s="112"/>
      <c r="G19" s="112"/>
      <c r="H19" s="112"/>
      <c r="I19" s="112"/>
      <c r="J19" s="112"/>
      <c r="K19" s="113"/>
      <c r="L19" s="143"/>
      <c r="M19" s="45"/>
      <c r="N19" s="176"/>
      <c r="O19" s="143"/>
      <c r="P19" s="143"/>
      <c r="Q19" s="46"/>
    </row>
    <row r="20" spans="1:21" ht="15" customHeight="1" x14ac:dyDescent="0.3">
      <c r="A20" s="33"/>
      <c r="B20" s="399"/>
      <c r="C20" s="400" t="s">
        <v>27</v>
      </c>
      <c r="D20" s="35">
        <f t="shared" si="3"/>
        <v>0</v>
      </c>
      <c r="E20" s="144"/>
      <c r="F20" s="47"/>
      <c r="G20" s="47"/>
      <c r="H20" s="47"/>
      <c r="I20" s="47"/>
      <c r="J20" s="47"/>
      <c r="K20" s="145"/>
      <c r="L20" s="145"/>
      <c r="M20" s="47"/>
      <c r="N20" s="177"/>
      <c r="O20" s="145"/>
      <c r="P20" s="145"/>
      <c r="Q20" s="48"/>
    </row>
    <row r="21" spans="1:21" ht="15" customHeight="1" thickBot="1" x14ac:dyDescent="0.35">
      <c r="A21" s="33"/>
      <c r="B21" s="399" t="s">
        <v>31</v>
      </c>
      <c r="C21" s="400"/>
      <c r="D21" s="36">
        <f t="shared" si="3"/>
        <v>0</v>
      </c>
      <c r="E21" s="114"/>
      <c r="F21" s="49"/>
      <c r="G21" s="49"/>
      <c r="H21" s="49"/>
      <c r="I21" s="49"/>
      <c r="J21" s="49"/>
      <c r="K21" s="146"/>
      <c r="L21" s="146"/>
      <c r="M21" s="49"/>
      <c r="N21" s="178"/>
      <c r="O21" s="146"/>
      <c r="P21" s="146"/>
      <c r="Q21" s="50"/>
    </row>
    <row r="22" spans="1:21" ht="15" customHeight="1" x14ac:dyDescent="0.3">
      <c r="A22" s="33"/>
      <c r="B22" s="399" t="s">
        <v>25</v>
      </c>
      <c r="C22" s="400" t="s">
        <v>27</v>
      </c>
      <c r="D22" s="37">
        <f t="shared" si="3"/>
        <v>0</v>
      </c>
      <c r="E22" s="115"/>
      <c r="F22" s="116"/>
      <c r="G22" s="112"/>
      <c r="H22" s="116"/>
      <c r="I22" s="116"/>
      <c r="J22" s="116"/>
      <c r="K22" s="117"/>
      <c r="L22" s="143"/>
      <c r="M22" s="45"/>
      <c r="N22" s="176"/>
      <c r="O22" s="143"/>
      <c r="P22" s="143"/>
      <c r="Q22" s="46"/>
    </row>
    <row r="23" spans="1:21" ht="15" customHeight="1" thickBot="1" x14ac:dyDescent="0.35">
      <c r="A23" s="33"/>
      <c r="B23" s="399" t="s">
        <v>31</v>
      </c>
      <c r="C23" s="400"/>
      <c r="D23" s="36">
        <f t="shared" si="3"/>
        <v>0</v>
      </c>
      <c r="E23" s="114"/>
      <c r="F23" s="49"/>
      <c r="G23" s="47"/>
      <c r="H23" s="49"/>
      <c r="I23" s="49"/>
      <c r="J23" s="49"/>
      <c r="K23" s="146"/>
      <c r="L23" s="146"/>
      <c r="M23" s="49"/>
      <c r="N23" s="178"/>
      <c r="O23" s="146"/>
      <c r="P23" s="146"/>
      <c r="Q23" s="50"/>
    </row>
    <row r="24" spans="1:21" ht="15" customHeight="1" x14ac:dyDescent="0.3">
      <c r="A24" s="33"/>
      <c r="B24" s="399" t="s">
        <v>31</v>
      </c>
      <c r="C24" s="400" t="s">
        <v>26</v>
      </c>
      <c r="D24" s="38">
        <f t="shared" si="3"/>
        <v>0</v>
      </c>
      <c r="E24" s="110"/>
      <c r="F24" s="45"/>
      <c r="G24" s="45"/>
      <c r="H24" s="45"/>
      <c r="I24" s="45"/>
      <c r="J24" s="45"/>
      <c r="K24" s="143"/>
      <c r="L24" s="143"/>
      <c r="M24" s="45"/>
      <c r="N24" s="176"/>
      <c r="O24" s="143"/>
      <c r="P24" s="143"/>
      <c r="Q24" s="46"/>
    </row>
    <row r="25" spans="1:21" ht="15" customHeight="1" thickBot="1" x14ac:dyDescent="0.35">
      <c r="A25" s="33"/>
      <c r="B25" s="401" t="s">
        <v>31</v>
      </c>
      <c r="C25" s="402"/>
      <c r="D25" s="246">
        <f t="shared" si="3"/>
        <v>0</v>
      </c>
      <c r="E25" s="254"/>
      <c r="F25" s="255"/>
      <c r="G25" s="255"/>
      <c r="H25" s="255"/>
      <c r="I25" s="255"/>
      <c r="J25" s="255"/>
      <c r="K25" s="256"/>
      <c r="L25" s="256"/>
      <c r="M25" s="255"/>
      <c r="N25" s="257"/>
      <c r="O25" s="256"/>
      <c r="P25" s="256"/>
      <c r="Q25" s="258"/>
    </row>
    <row r="26" spans="1:21" ht="15" customHeight="1" thickTop="1" x14ac:dyDescent="0.3">
      <c r="A26" s="33"/>
      <c r="B26" s="478" t="s">
        <v>104</v>
      </c>
      <c r="C26" s="479"/>
      <c r="D26" s="479"/>
      <c r="E26" s="240">
        <f>E43*$P$2</f>
        <v>0</v>
      </c>
      <c r="F26" s="241">
        <f t="shared" ref="F26:M26" si="4">F43*$P$2</f>
        <v>0</v>
      </c>
      <c r="G26" s="241">
        <f t="shared" si="4"/>
        <v>0</v>
      </c>
      <c r="H26" s="241">
        <f t="shared" si="4"/>
        <v>0</v>
      </c>
      <c r="I26" s="241">
        <f t="shared" si="4"/>
        <v>0</v>
      </c>
      <c r="J26" s="241">
        <f t="shared" si="4"/>
        <v>0</v>
      </c>
      <c r="K26" s="240">
        <f t="shared" si="4"/>
        <v>0</v>
      </c>
      <c r="L26" s="240">
        <f t="shared" si="4"/>
        <v>0</v>
      </c>
      <c r="M26" s="241">
        <f t="shared" si="4"/>
        <v>0</v>
      </c>
      <c r="N26" s="368"/>
      <c r="O26" s="368"/>
      <c r="P26" s="369"/>
      <c r="Q26" s="370"/>
    </row>
    <row r="27" spans="1:21" ht="15" customHeight="1" x14ac:dyDescent="0.3">
      <c r="A27" s="33"/>
      <c r="B27" s="480" t="s">
        <v>132</v>
      </c>
      <c r="C27" s="481"/>
      <c r="D27" s="482"/>
      <c r="E27" s="202">
        <f>MAIN!E43*MAIN!$N$32</f>
        <v>0</v>
      </c>
      <c r="F27" s="203">
        <f>MAIN!F43*MAIN!$N$32</f>
        <v>0</v>
      </c>
      <c r="G27" s="203">
        <f>MAIN!G43*MAIN!$N$32</f>
        <v>0</v>
      </c>
      <c r="H27" s="203">
        <f>MAIN!H43*MAIN!$N$32</f>
        <v>0</v>
      </c>
      <c r="I27" s="203">
        <f>MAIN!I43*MAIN!$N$32</f>
        <v>0</v>
      </c>
      <c r="J27" s="203">
        <f>MAIN!J43*MAIN!$N$32</f>
        <v>0</v>
      </c>
      <c r="K27" s="204">
        <f>MAIN!K43*MAIN!$N$32</f>
        <v>0</v>
      </c>
      <c r="L27" s="204">
        <f>MAIN!L43*MAIN!$N$32</f>
        <v>0</v>
      </c>
      <c r="M27" s="203">
        <f>MAIN!M43*MAIN!$N$32</f>
        <v>0</v>
      </c>
      <c r="N27" s="205">
        <f>IF(COUNTA(N19:N25)&gt;0,'FINISHING REF'!$B$3,0)</f>
        <v>0</v>
      </c>
      <c r="O27" s="206">
        <f>IF(COUNTA(O19:O25)&gt;0,'FINISHING REF'!$B$4,0)</f>
        <v>0</v>
      </c>
      <c r="P27" s="206">
        <f>IF(COUNTA(P19:P25)&gt;0,'FINISHING REF'!$B$5,0)</f>
        <v>0</v>
      </c>
      <c r="Q27" s="207">
        <f>IF(COUNTA(Q19:Q25)&gt;0,'FINISHING REF'!$B$6,0)</f>
        <v>0</v>
      </c>
    </row>
    <row r="28" spans="1:21" ht="15" customHeight="1" thickBot="1" x14ac:dyDescent="0.35"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</row>
    <row r="29" spans="1:21" ht="15" customHeight="1" thickBot="1" x14ac:dyDescent="0.35">
      <c r="B29" s="389" t="s">
        <v>130</v>
      </c>
      <c r="C29" s="390"/>
      <c r="D29" s="390"/>
      <c r="E29" s="390"/>
      <c r="F29" s="390"/>
      <c r="G29" s="390"/>
      <c r="H29" s="390"/>
      <c r="I29" s="390"/>
      <c r="J29" s="390"/>
      <c r="K29" s="390"/>
      <c r="L29" s="390"/>
      <c r="M29" s="390"/>
      <c r="N29" s="408" t="s">
        <v>74</v>
      </c>
      <c r="O29" s="409"/>
      <c r="P29" s="409"/>
      <c r="Q29" s="410"/>
    </row>
    <row r="30" spans="1:21" ht="14.4" customHeight="1" x14ac:dyDescent="0.3">
      <c r="B30" s="393" t="s">
        <v>52</v>
      </c>
      <c r="C30" s="394"/>
      <c r="D30" s="397" t="s">
        <v>53</v>
      </c>
      <c r="E30" s="485" t="s">
        <v>89</v>
      </c>
      <c r="F30" s="425"/>
      <c r="G30" s="425"/>
      <c r="H30" s="425"/>
      <c r="I30" s="425"/>
      <c r="J30" s="425"/>
      <c r="K30" s="425"/>
      <c r="L30" s="424" t="s">
        <v>90</v>
      </c>
      <c r="M30" s="425"/>
      <c r="N30" s="384" t="s">
        <v>106</v>
      </c>
      <c r="O30" s="382" t="s">
        <v>103</v>
      </c>
      <c r="P30" s="382" t="s">
        <v>105</v>
      </c>
      <c r="Q30" s="391" t="s">
        <v>104</v>
      </c>
    </row>
    <row r="31" spans="1:21" ht="15" customHeight="1" thickBot="1" x14ac:dyDescent="0.35">
      <c r="B31" s="395"/>
      <c r="C31" s="396"/>
      <c r="D31" s="398"/>
      <c r="E31" s="174" t="s">
        <v>63</v>
      </c>
      <c r="F31" s="89" t="s">
        <v>38</v>
      </c>
      <c r="G31" s="89" t="s">
        <v>32</v>
      </c>
      <c r="H31" s="89" t="s">
        <v>33</v>
      </c>
      <c r="I31" s="89" t="s">
        <v>34</v>
      </c>
      <c r="J31" s="89" t="s">
        <v>60</v>
      </c>
      <c r="K31" s="90" t="s">
        <v>36</v>
      </c>
      <c r="L31" s="298" t="s">
        <v>39</v>
      </c>
      <c r="M31" s="299" t="s">
        <v>102</v>
      </c>
      <c r="N31" s="385"/>
      <c r="O31" s="383"/>
      <c r="P31" s="383"/>
      <c r="Q31" s="392"/>
    </row>
    <row r="32" spans="1:21" ht="15" customHeight="1" x14ac:dyDescent="0.3">
      <c r="B32" s="403" t="s">
        <v>25</v>
      </c>
      <c r="C32" s="453" t="s">
        <v>26</v>
      </c>
      <c r="D32" s="34">
        <f t="shared" ref="D32:D38" si="5">D19</f>
        <v>0</v>
      </c>
      <c r="E32" s="210">
        <f>IF(E19="X",K7/1000/'PROCESS RATES'!D4,0)</f>
        <v>0</v>
      </c>
      <c r="F32" s="211">
        <f>IF(MAIN!F19="X",MAIN!K7/1000/'PROCESS RATES'!E4,0)</f>
        <v>0</v>
      </c>
      <c r="G32" s="211">
        <f>IF(G19="X",MAIN!I7/'PROCESS RATES'!F4,0)</f>
        <v>0</v>
      </c>
      <c r="H32" s="211">
        <f>IF(MAIN!H19="X",MAIN!I7/'PROCESS RATES'!G4,0)</f>
        <v>0</v>
      </c>
      <c r="I32" s="211">
        <f>IF(I19="X",I7/'PROCESS RATES'!H4,0)</f>
        <v>0</v>
      </c>
      <c r="J32" s="211">
        <f>IF(MAIN!J19="X",I7/'PROCESS RATES'!I4,0)</f>
        <v>0</v>
      </c>
      <c r="K32" s="212">
        <f>IF(MAIN!K19="X",MAIN!K7/1000/'PROCESS RATES'!J4,0)</f>
        <v>0</v>
      </c>
      <c r="L32" s="213">
        <f>IF(SUM(MAIN!$I$7:$I$11)&gt;0,$L$39*(MAIN!I7/SUM(MAIN!$I$7:$I$11)),0)</f>
        <v>0</v>
      </c>
      <c r="M32" s="275">
        <f>IF(SUM(MAIN!$I$7:$I$11)&gt;0,$M$39*(MAIN!I7/SUM(MAIN!$I$7:$I$11)),0)</f>
        <v>0</v>
      </c>
      <c r="N32" s="386">
        <v>30</v>
      </c>
      <c r="O32" s="243">
        <f t="shared" ref="O32:O41" si="6">SUM(E32:M32)</f>
        <v>0</v>
      </c>
      <c r="P32" s="243">
        <f t="shared" ref="P32:P42" si="7">O32*$N$32</f>
        <v>0</v>
      </c>
      <c r="Q32" s="263">
        <f t="shared" ref="Q32:Q42" si="8">O32*$P$2</f>
        <v>0</v>
      </c>
    </row>
    <row r="33" spans="1:17" ht="15" customHeight="1" x14ac:dyDescent="0.3">
      <c r="B33" s="399"/>
      <c r="C33" s="400" t="s">
        <v>27</v>
      </c>
      <c r="D33" s="35">
        <f t="shared" si="5"/>
        <v>0</v>
      </c>
      <c r="E33" s="214">
        <f>IF(E20="X",K8/1000/'PROCESS RATES'!D5,0)</f>
        <v>0</v>
      </c>
      <c r="F33" s="215">
        <f>IF(MAIN!F20="X",MAIN!K8/1000/'PROCESS RATES'!E5,0)</f>
        <v>0</v>
      </c>
      <c r="G33" s="215">
        <f>IF(G20="X",MAIN!I8/'PROCESS RATES'!F5,0)</f>
        <v>0</v>
      </c>
      <c r="H33" s="215">
        <f>IF(MAIN!H20="X",MAIN!I8/'PROCESS RATES'!G5,0)</f>
        <v>0</v>
      </c>
      <c r="I33" s="215">
        <f>IF(I20="X",I8/'PROCESS RATES'!H5,0)</f>
        <v>0</v>
      </c>
      <c r="J33" s="215">
        <f>IF(MAIN!J20="X",I8/'PROCESS RATES'!I5,0)</f>
        <v>0</v>
      </c>
      <c r="K33" s="213">
        <f>IF(MAIN!K20="X",MAIN!K8/1000/'PROCESS RATES'!J5,0)</f>
        <v>0</v>
      </c>
      <c r="L33" s="213">
        <f>IF(SUM(MAIN!$I$7:$I$11)&gt;0,$L$39*(MAIN!I8/SUM(MAIN!$I$7:$I$11)),0)</f>
        <v>0</v>
      </c>
      <c r="M33" s="213">
        <f>IF(SUM(MAIN!$I$7:$I$11)&gt;0,$M$39*(MAIN!I8/SUM(MAIN!$I$7:$I$11)),0)</f>
        <v>0</v>
      </c>
      <c r="N33" s="387"/>
      <c r="O33" s="244">
        <f t="shared" si="6"/>
        <v>0</v>
      </c>
      <c r="P33" s="244">
        <f t="shared" si="7"/>
        <v>0</v>
      </c>
      <c r="Q33" s="264">
        <f t="shared" si="8"/>
        <v>0</v>
      </c>
    </row>
    <row r="34" spans="1:17" ht="15" customHeight="1" thickBot="1" x14ac:dyDescent="0.35">
      <c r="B34" s="399" t="s">
        <v>31</v>
      </c>
      <c r="C34" s="400"/>
      <c r="D34" s="36">
        <f t="shared" si="5"/>
        <v>0</v>
      </c>
      <c r="E34" s="216">
        <f>IF(E21="X",K9/1000/'PROCESS RATES'!D6,0)</f>
        <v>0</v>
      </c>
      <c r="F34" s="217">
        <f>IF(MAIN!F21="X",MAIN!K9/1000/'PROCESS RATES'!E6,0)</f>
        <v>0</v>
      </c>
      <c r="G34" s="217">
        <f>IF(G21="X",MAIN!I9/'PROCESS RATES'!F6,0)</f>
        <v>0</v>
      </c>
      <c r="H34" s="217">
        <f>IF(MAIN!H21="X",MAIN!I9/'PROCESS RATES'!G6,0)</f>
        <v>0</v>
      </c>
      <c r="I34" s="217">
        <f>IF(I21="X",I9/'PROCESS RATES'!H6,0)</f>
        <v>0</v>
      </c>
      <c r="J34" s="217">
        <f>IF(MAIN!J21="X",I9/'PROCESS RATES'!I6,0)</f>
        <v>0</v>
      </c>
      <c r="K34" s="218">
        <f>IF(MAIN!K21="X",MAIN!K9/1000/'PROCESS RATES'!J6,0)</f>
        <v>0</v>
      </c>
      <c r="L34" s="218">
        <f>IF(SUM(MAIN!$I$7:$I$11)&gt;0,$L$39*(MAIN!I9/SUM(MAIN!$I$7:$I$11)),0)</f>
        <v>0</v>
      </c>
      <c r="M34" s="218">
        <f>IF(SUM(MAIN!$I$7:$I$11)&gt;0,$M$39*(MAIN!I9/SUM(MAIN!$I$7:$I$11)),0)</f>
        <v>0</v>
      </c>
      <c r="N34" s="388"/>
      <c r="O34" s="245">
        <f t="shared" si="6"/>
        <v>0</v>
      </c>
      <c r="P34" s="245">
        <f t="shared" si="7"/>
        <v>0</v>
      </c>
      <c r="Q34" s="265">
        <f t="shared" si="8"/>
        <v>0</v>
      </c>
    </row>
    <row r="35" spans="1:17" ht="15" customHeight="1" x14ac:dyDescent="0.3">
      <c r="B35" s="399" t="s">
        <v>25</v>
      </c>
      <c r="C35" s="400" t="s">
        <v>27</v>
      </c>
      <c r="D35" s="37">
        <f t="shared" si="5"/>
        <v>0</v>
      </c>
      <c r="E35" s="219">
        <f>IF(E22="X",K10/1000/'PROCESS RATES'!D7,0)</f>
        <v>0</v>
      </c>
      <c r="F35" s="220">
        <f>IF(MAIN!F22="X",MAIN!K10/1000/'PROCESS RATES'!E7,0)</f>
        <v>0</v>
      </c>
      <c r="G35" s="220">
        <f>IF(G22="X",MAIN!I10/'PROCESS RATES'!F7,0)</f>
        <v>0</v>
      </c>
      <c r="H35" s="220">
        <f>IF(MAIN!H22="X",MAIN!I10/'PROCESS RATES'!G7,0)</f>
        <v>0</v>
      </c>
      <c r="I35" s="220">
        <f>IF(I22="X",I10/'PROCESS RATES'!H7,0)</f>
        <v>0</v>
      </c>
      <c r="J35" s="220">
        <f>IF(MAIN!J22="X",I10/'PROCESS RATES'!I7,0)</f>
        <v>0</v>
      </c>
      <c r="K35" s="221">
        <f>IF(MAIN!K22="X",MAIN!K10/1000/'PROCESS RATES'!J7,0)</f>
        <v>0</v>
      </c>
      <c r="L35" s="212">
        <f>IF(SUM(MAIN!$I$7:$I$11)&gt;0,$L$39*(MAIN!I10/SUM(MAIN!$I$7:$I$11)),0)</f>
        <v>0</v>
      </c>
      <c r="M35" s="212">
        <f>IF(SUM(MAIN!$I$7:$I$11)&gt;0,$M$39*(MAIN!I10/SUM(MAIN!$I$7:$I$11)),0)</f>
        <v>0</v>
      </c>
      <c r="N35" s="331"/>
      <c r="O35" s="243">
        <f t="shared" si="6"/>
        <v>0</v>
      </c>
      <c r="P35" s="243">
        <f t="shared" si="7"/>
        <v>0</v>
      </c>
      <c r="Q35" s="263">
        <f t="shared" si="8"/>
        <v>0</v>
      </c>
    </row>
    <row r="36" spans="1:17" ht="15" customHeight="1" thickBot="1" x14ac:dyDescent="0.35">
      <c r="B36" s="399" t="s">
        <v>31</v>
      </c>
      <c r="C36" s="400"/>
      <c r="D36" s="36">
        <f t="shared" si="5"/>
        <v>0</v>
      </c>
      <c r="E36" s="216">
        <f>IF(E23="X",K11/1000/'PROCESS RATES'!D8,0)</f>
        <v>0</v>
      </c>
      <c r="F36" s="217">
        <f>IF(MAIN!F23="X",MAIN!K11/1000/'PROCESS RATES'!E8,0)</f>
        <v>0</v>
      </c>
      <c r="G36" s="217">
        <f>IF(G23="X",MAIN!I11/'PROCESS RATES'!F8,0)</f>
        <v>0</v>
      </c>
      <c r="H36" s="217">
        <f>IF(MAIN!H23="X",MAIN!I11/'PROCESS RATES'!G8,0)</f>
        <v>0</v>
      </c>
      <c r="I36" s="217">
        <f>IF(I23="X",I11/'PROCESS RATES'!H8,0)</f>
        <v>0</v>
      </c>
      <c r="J36" s="217">
        <f>IF(MAIN!J23="X",I11/'PROCESS RATES'!I8,0)</f>
        <v>0</v>
      </c>
      <c r="K36" s="218">
        <f>IF(MAIN!K23="X",MAIN!K11/1000/'PROCESS RATES'!J8,0)</f>
        <v>0</v>
      </c>
      <c r="L36" s="218">
        <f>IF(SUM(MAIN!$I$7:$I$11)&gt;0,$L$39*(MAIN!I11/SUM(MAIN!$I$7:$I$11)),0)</f>
        <v>0</v>
      </c>
      <c r="M36" s="218">
        <f>IF(SUM(MAIN!$I$7:$I$11)&gt;0,$M$39*(MAIN!I11/SUM(MAIN!$I$7:$I$11)),0)</f>
        <v>0</v>
      </c>
      <c r="N36" s="332"/>
      <c r="O36" s="245">
        <f t="shared" si="6"/>
        <v>0</v>
      </c>
      <c r="P36" s="245">
        <f t="shared" si="7"/>
        <v>0</v>
      </c>
      <c r="Q36" s="265">
        <f t="shared" si="8"/>
        <v>0</v>
      </c>
    </row>
    <row r="37" spans="1:17" ht="15" customHeight="1" x14ac:dyDescent="0.3">
      <c r="B37" s="399" t="s">
        <v>31</v>
      </c>
      <c r="C37" s="400" t="s">
        <v>26</v>
      </c>
      <c r="D37" s="38">
        <f t="shared" si="5"/>
        <v>0</v>
      </c>
      <c r="E37" s="210">
        <f>IF(E24="X",K12/1000/'PROCESS RATES'!D9,0)</f>
        <v>0</v>
      </c>
      <c r="F37" s="211">
        <f>IF(MAIN!F24="X",MAIN!K12/1000/'PROCESS RATES'!E9,0)</f>
        <v>0</v>
      </c>
      <c r="G37" s="211">
        <f>IF(G24="X",MAIN!I12/'PROCESS RATES'!F9,0)</f>
        <v>0</v>
      </c>
      <c r="H37" s="211">
        <f>IF(MAIN!H24="X",MAIN!I12/'PROCESS RATES'!G9,0)</f>
        <v>0</v>
      </c>
      <c r="I37" s="211">
        <f>IF(I24="X",I12/'PROCESS RATES'!H9,0)</f>
        <v>0</v>
      </c>
      <c r="J37" s="211">
        <f>IF(MAIN!J24="X",I12/'PROCESS RATES'!I9,0)</f>
        <v>0</v>
      </c>
      <c r="K37" s="212">
        <f>IF(MAIN!K24="X",MAIN!K12/1000/'PROCESS RATES'!J9,0)</f>
        <v>0</v>
      </c>
      <c r="L37" s="212">
        <v>0</v>
      </c>
      <c r="M37" s="212">
        <v>0</v>
      </c>
      <c r="N37" s="332"/>
      <c r="O37" s="243">
        <f t="shared" si="6"/>
        <v>0</v>
      </c>
      <c r="P37" s="243">
        <f t="shared" si="7"/>
        <v>0</v>
      </c>
      <c r="Q37" s="263">
        <f t="shared" si="8"/>
        <v>0</v>
      </c>
    </row>
    <row r="38" spans="1:17" ht="15" customHeight="1" thickBot="1" x14ac:dyDescent="0.35">
      <c r="B38" s="401" t="s">
        <v>31</v>
      </c>
      <c r="C38" s="402"/>
      <c r="D38" s="246">
        <f t="shared" si="5"/>
        <v>0</v>
      </c>
      <c r="E38" s="247">
        <f>IF(E25="X",K13/1000/'PROCESS RATES'!D10,0)</f>
        <v>0</v>
      </c>
      <c r="F38" s="248">
        <f>IF(MAIN!F25="X",MAIN!K13/1000/'PROCESS RATES'!E10,0)</f>
        <v>0</v>
      </c>
      <c r="G38" s="248">
        <f>IF(G25="X",MAIN!I13/'PROCESS RATES'!F10,0)</f>
        <v>0</v>
      </c>
      <c r="H38" s="248">
        <f>IF(MAIN!H25="X",MAIN!I13/'PROCESS RATES'!G10,0)</f>
        <v>0</v>
      </c>
      <c r="I38" s="248">
        <f>IF(I25="X",I13/'PROCESS RATES'!H10,0)</f>
        <v>0</v>
      </c>
      <c r="J38" s="248">
        <f>IF(MAIN!J25="X",I13/'PROCESS RATES'!I10,0)</f>
        <v>0</v>
      </c>
      <c r="K38" s="249">
        <f>IF(MAIN!K25="X",MAIN!K13/1000/'PROCESS RATES'!J10,0)</f>
        <v>0</v>
      </c>
      <c r="L38" s="249">
        <v>0</v>
      </c>
      <c r="M38" s="249">
        <v>0</v>
      </c>
      <c r="N38" s="333"/>
      <c r="O38" s="250">
        <f t="shared" si="6"/>
        <v>0</v>
      </c>
      <c r="P38" s="250">
        <f t="shared" si="7"/>
        <v>0</v>
      </c>
      <c r="Q38" s="266">
        <f t="shared" si="8"/>
        <v>0</v>
      </c>
    </row>
    <row r="39" spans="1:17" ht="15" customHeight="1" thickTop="1" x14ac:dyDescent="0.3">
      <c r="A39" s="12"/>
      <c r="B39" s="411" t="s">
        <v>139</v>
      </c>
      <c r="C39" s="412"/>
      <c r="D39" s="413"/>
      <c r="E39" s="268">
        <f t="shared" ref="E39:K39" si="9">SUM(E32:E38)</f>
        <v>0</v>
      </c>
      <c r="F39" s="269">
        <f t="shared" si="9"/>
        <v>0</v>
      </c>
      <c r="G39" s="269">
        <f t="shared" si="9"/>
        <v>0</v>
      </c>
      <c r="H39" s="269">
        <f t="shared" si="9"/>
        <v>0</v>
      </c>
      <c r="I39" s="269">
        <f t="shared" si="9"/>
        <v>0</v>
      </c>
      <c r="J39" s="269">
        <f t="shared" si="9"/>
        <v>0</v>
      </c>
      <c r="K39" s="270">
        <f t="shared" si="9"/>
        <v>0</v>
      </c>
      <c r="L39" s="315">
        <f>IF(AND(COUNTA($L$19:$L$25)&gt;0,SUM($I$12:$I$13)&gt;1),'PROCESS RATES'!$K$11^-1,0)</f>
        <v>0</v>
      </c>
      <c r="M39" s="270">
        <f>IF(AND(SUM(MAIN!$I$7:$I$9)&gt;0,SUM(MAIN!$I$12:$I$13)&gt;0,COUNTA(MAIN!$M$19:$M$25)&gt;0),'PROCESS RATES'!$L$11^-1,0)</f>
        <v>0</v>
      </c>
      <c r="N39" s="334"/>
      <c r="O39" s="276">
        <f t="shared" si="6"/>
        <v>0</v>
      </c>
      <c r="P39" s="276">
        <f t="shared" si="7"/>
        <v>0</v>
      </c>
      <c r="Q39" s="277">
        <f t="shared" si="8"/>
        <v>0</v>
      </c>
    </row>
    <row r="40" spans="1:17" ht="15" customHeight="1" x14ac:dyDescent="0.3">
      <c r="A40" s="12"/>
      <c r="B40" s="466" t="s">
        <v>81</v>
      </c>
      <c r="C40" s="467"/>
      <c r="D40" s="468"/>
      <c r="E40" s="271" cm="1">
        <f t="array" ref="E40">'LABOR REF'!$C$145*MIN(COUNTIF(E32:E38,"&gt;0"),SUM(--(FREQUENCY($K$7:$K$13,$K$7:$K$13)&gt;0)))/IF(MAIN!$P$2&gt;0,MAIN!$P$2,1)</f>
        <v>0</v>
      </c>
      <c r="F40" s="272" cm="1">
        <f t="array" ref="F40">'LABOR REF'!$C$146*MIN(COUNTIF(F32:F38,"&gt;0"),SUM(--(FREQUENCY($K$7:$K$13,$K$7:$K$13)&gt;0)))/IF(MAIN!$P$2&gt;0,MAIN!$P$2,1)</f>
        <v>0</v>
      </c>
      <c r="G40" s="273" cm="1">
        <f t="array" ref="G40">'LABOR REF'!$C$147*MIN(COUNTIF(G32:G38,"&gt;0"),SUM(--(FREQUENCY($K$7:$K$13,$K$7:$K$13)&gt;0)))/IF(MAIN!$P$2&gt;0,MAIN!$P$2,1)</f>
        <v>0</v>
      </c>
      <c r="H40" s="272" cm="1">
        <f t="array" ref="H40">'LABOR REF'!$C$148*MIN(COUNTIF(H32:H38,"&gt;0"),SUM(--(FREQUENCY($K$7:$K$13,$K$7:$K$13)&gt;0)))/IF(MAIN!$P$2&gt;0,MAIN!$P$2,1)</f>
        <v>0</v>
      </c>
      <c r="I40" s="272" cm="1">
        <f t="array" ref="I40">'LABOR REF'!$C$149*MIN(COUNTIF(I32:I38,"&gt;0"),SUM(--(FREQUENCY($K$7:$K$13,$K$7:$K$13)&gt;0)))/IF(MAIN!$P$2&gt;0,MAIN!$P$2,1)</f>
        <v>0</v>
      </c>
      <c r="J40" s="272" cm="1">
        <f t="array" ref="J40">'LABOR REF'!$C$150*MIN(COUNTIF(J32:J38,"&gt;0"),SUM(--(FREQUENCY($K$7:$K$13,$K$7:$K$13)&gt;0)))/IF(MAIN!$P$2&gt;0,MAIN!$P$2,1)</f>
        <v>0</v>
      </c>
      <c r="K40" s="274" cm="1">
        <f t="array" ref="K40">'LABOR REF'!$C$151*MIN(COUNTIF(K32:K38,"&gt;0"),SUM(--(FREQUENCY($K$7:$K$13,$K$7:$K$13)&gt;0)))*0/IF(MAIN!$P$2&gt;0,MAIN!$P$2,1)</f>
        <v>0</v>
      </c>
      <c r="L40" s="272">
        <f>IF(AND($L$39&gt;0,MAIN!$P$2&gt;0),'LABOR REF'!$C$152/(MAIN!$P$2),0)</f>
        <v>0</v>
      </c>
      <c r="M40" s="274">
        <f>IF(AND(SUM(MAIN!$I$12:$I$13)&gt;0,M39&gt;0,MAIN!$P$2&gt;0),IF(SUM(MAIN!$I$12:$I$13)&lt;=3,'LABOR REF'!$C$154,'LABOR REF'!$D$154)/MAIN!$P$2,0)</f>
        <v>0</v>
      </c>
      <c r="N40" s="335"/>
      <c r="O40" s="278">
        <f t="shared" si="6"/>
        <v>0</v>
      </c>
      <c r="P40" s="278">
        <f t="shared" si="7"/>
        <v>0</v>
      </c>
      <c r="Q40" s="279">
        <f t="shared" si="8"/>
        <v>0</v>
      </c>
    </row>
    <row r="41" spans="1:17" ht="15" customHeight="1" x14ac:dyDescent="0.3">
      <c r="A41" s="12"/>
      <c r="B41" s="466" t="s">
        <v>114</v>
      </c>
      <c r="C41" s="467"/>
      <c r="D41" s="468"/>
      <c r="E41" s="271"/>
      <c r="F41" s="272"/>
      <c r="G41" s="273">
        <f>G39*'LABOR REF'!$B$147</f>
        <v>0</v>
      </c>
      <c r="H41" s="272">
        <f>H39*'LABOR REF'!$B$148</f>
        <v>0</v>
      </c>
      <c r="I41" s="272">
        <f>I39*'LABOR REF'!B149</f>
        <v>0</v>
      </c>
      <c r="J41" s="272"/>
      <c r="K41" s="274"/>
      <c r="L41" s="272">
        <f>L39*'LABOR REF'!$B$152</f>
        <v>0</v>
      </c>
      <c r="M41" s="274">
        <f>M39*'LABOR REF'!$B$153</f>
        <v>0</v>
      </c>
      <c r="N41" s="335"/>
      <c r="O41" s="278">
        <f t="shared" si="6"/>
        <v>0</v>
      </c>
      <c r="P41" s="278">
        <f t="shared" si="7"/>
        <v>0</v>
      </c>
      <c r="Q41" s="279">
        <f t="shared" si="8"/>
        <v>0</v>
      </c>
    </row>
    <row r="42" spans="1:17" ht="15" customHeight="1" thickBot="1" x14ac:dyDescent="0.35">
      <c r="A42" s="12"/>
      <c r="B42" s="373" t="s">
        <v>41</v>
      </c>
      <c r="C42" s="462"/>
      <c r="D42" s="374"/>
      <c r="E42" s="251"/>
      <c r="F42" s="252"/>
      <c r="G42" s="252"/>
      <c r="H42" s="252"/>
      <c r="I42" s="252"/>
      <c r="J42" s="252"/>
      <c r="K42" s="253"/>
      <c r="L42" s="253"/>
      <c r="M42" s="252"/>
      <c r="N42" s="335"/>
      <c r="O42" s="280">
        <f>SUM(E42:M42)/IF($P$2&gt;0,$P$2,1)</f>
        <v>0</v>
      </c>
      <c r="P42" s="280">
        <f t="shared" si="7"/>
        <v>0</v>
      </c>
      <c r="Q42" s="281">
        <f t="shared" si="8"/>
        <v>0</v>
      </c>
    </row>
    <row r="43" spans="1:17" ht="15" thickBot="1" x14ac:dyDescent="0.35">
      <c r="A43" s="12"/>
      <c r="B43" s="463" t="s">
        <v>140</v>
      </c>
      <c r="C43" s="464"/>
      <c r="D43" s="465"/>
      <c r="E43" s="259">
        <f>SUM(E39:E41)+E42/IF(MAIN!$P$2&gt;0,MAIN!$P$2,1)</f>
        <v>0</v>
      </c>
      <c r="F43" s="260">
        <f>SUM(F39:F41)+F42/IF(MAIN!$P$2&gt;0,MAIN!$P$2,1)</f>
        <v>0</v>
      </c>
      <c r="G43" s="260">
        <f>SUM(G39:G41)+G42/IF(MAIN!$P$2&gt;0,MAIN!$P$2,1)</f>
        <v>0</v>
      </c>
      <c r="H43" s="260">
        <f>SUM(H39:H41)+H42/IF(MAIN!$P$2&gt;0,MAIN!$P$2,1)</f>
        <v>0</v>
      </c>
      <c r="I43" s="260">
        <f>SUM(I39:I41)+I42/IF(MAIN!$P$2&gt;0,MAIN!$P$2,1)</f>
        <v>0</v>
      </c>
      <c r="J43" s="260">
        <f>SUM(J39:J41)+J42/IF(MAIN!$P$2&gt;0,MAIN!$P$2,1)</f>
        <v>0</v>
      </c>
      <c r="K43" s="261">
        <f>SUM(K39:K41)+K42/IF(MAIN!$P$2&gt;0,MAIN!$P$2,1)</f>
        <v>0</v>
      </c>
      <c r="L43" s="260">
        <f>SUM(L39:L41)+L42/IF(MAIN!$P$2&gt;0,MAIN!$P$2,1)</f>
        <v>0</v>
      </c>
      <c r="M43" s="261">
        <f>SUM(M39:M41)+M42/IF(MAIN!$P$2&gt;0,MAIN!$P$2,1)</f>
        <v>0</v>
      </c>
      <c r="N43" s="336" t="s">
        <v>51</v>
      </c>
      <c r="O43" s="242">
        <f>SUM(O39:O42)</f>
        <v>0</v>
      </c>
      <c r="P43" s="267">
        <f>SUM(P39:P42)</f>
        <v>0</v>
      </c>
      <c r="Q43" s="262">
        <f>SUM(Q39:Q42)</f>
        <v>0</v>
      </c>
    </row>
    <row r="44" spans="1:17" ht="15" customHeight="1" thickBot="1" x14ac:dyDescent="0.35">
      <c r="A44" s="12"/>
    </row>
    <row r="45" spans="1:17" ht="15" customHeight="1" thickBot="1" x14ac:dyDescent="0.35">
      <c r="B45" s="473" t="s">
        <v>73</v>
      </c>
      <c r="C45" s="474"/>
      <c r="D45" s="474"/>
      <c r="E45" s="474"/>
      <c r="F45" s="474"/>
      <c r="G45" s="474"/>
      <c r="H45" s="475"/>
      <c r="J45" s="408" t="s">
        <v>92</v>
      </c>
      <c r="K45" s="409"/>
      <c r="L45" s="409"/>
      <c r="M45" s="409"/>
      <c r="N45" s="409"/>
      <c r="O45" s="409"/>
      <c r="P45" s="409"/>
      <c r="Q45" s="410"/>
    </row>
    <row r="46" spans="1:17" ht="15" customHeight="1" thickBot="1" x14ac:dyDescent="0.35">
      <c r="B46" s="393" t="s">
        <v>52</v>
      </c>
      <c r="C46" s="394"/>
      <c r="D46" s="397" t="s">
        <v>53</v>
      </c>
      <c r="E46" s="416" t="s">
        <v>110</v>
      </c>
      <c r="F46" s="418" t="s">
        <v>59</v>
      </c>
      <c r="G46" s="420" t="s">
        <v>107</v>
      </c>
      <c r="H46" s="391" t="s">
        <v>108</v>
      </c>
      <c r="J46" s="422"/>
      <c r="K46" s="423"/>
      <c r="L46" s="179" t="s">
        <v>76</v>
      </c>
      <c r="M46" s="180" t="s">
        <v>75</v>
      </c>
      <c r="N46" s="180" t="s">
        <v>88</v>
      </c>
      <c r="O46" s="348" t="s">
        <v>85</v>
      </c>
      <c r="P46" s="348" t="s">
        <v>77</v>
      </c>
      <c r="Q46" s="181" t="s">
        <v>97</v>
      </c>
    </row>
    <row r="47" spans="1:17" ht="15" customHeight="1" thickBot="1" x14ac:dyDescent="0.35">
      <c r="B47" s="395"/>
      <c r="C47" s="396"/>
      <c r="D47" s="398"/>
      <c r="E47" s="417"/>
      <c r="F47" s="419"/>
      <c r="G47" s="421"/>
      <c r="H47" s="392"/>
      <c r="J47" s="371" t="s">
        <v>95</v>
      </c>
      <c r="K47" s="372"/>
      <c r="L47" s="82">
        <f>$H$53+$P$14</f>
        <v>0</v>
      </c>
      <c r="M47" s="82">
        <f>P43</f>
        <v>0</v>
      </c>
      <c r="N47" s="82">
        <f>IF($P$2&gt;0,SUM($N$27:$Q$27),0)</f>
        <v>0</v>
      </c>
      <c r="O47" s="349"/>
      <c r="P47" s="349"/>
      <c r="Q47" s="72">
        <f>SUM(L47:P47)</f>
        <v>0</v>
      </c>
    </row>
    <row r="48" spans="1:17" ht="15" thickBot="1" x14ac:dyDescent="0.35">
      <c r="B48" s="403" t="s">
        <v>25</v>
      </c>
      <c r="C48" s="453" t="s">
        <v>26</v>
      </c>
      <c r="D48" s="34">
        <f>D7</f>
        <v>0</v>
      </c>
      <c r="E48" s="40" t="s">
        <v>15</v>
      </c>
      <c r="F48" s="222">
        <f>IF(E7="PLY",(SUM($I$12:$I$13))*H7/4,IF('GROSS LUMBER OUT'!E3&gt;5,I7*3*(SUM($I$12:$I$13)),I7*2*(SUM($I$12:$I$13))))</f>
        <v>0</v>
      </c>
      <c r="G48" s="223">
        <f>IF(AND(F48&gt;0,$F$57=TRUE,E48=""),"TYPE?",IF(AND(F48&gt;0,F57=FALSE,E48=""),"TYPE?",IF(AND(F48&gt;0,E48&gt;" "),VLOOKUP(E48,'NAIL COST REF'!$A$3:$B$12,2),0)))</f>
        <v>0</v>
      </c>
      <c r="H48" s="224">
        <f>IF(ISNUMBER(G48),G48*F48/100,0)</f>
        <v>0</v>
      </c>
      <c r="J48" s="373" t="s">
        <v>96</v>
      </c>
      <c r="K48" s="374"/>
      <c r="L48" s="81">
        <f>L47*$P$2</f>
        <v>0</v>
      </c>
      <c r="M48" s="81">
        <f>M47*$P$2</f>
        <v>0</v>
      </c>
      <c r="N48" s="81">
        <f>N47*$P$2</f>
        <v>0</v>
      </c>
      <c r="O48" s="350"/>
      <c r="P48" s="350"/>
      <c r="Q48" s="73">
        <f>MAX(Q47*$P$2,SUM(L48:P48))</f>
        <v>0</v>
      </c>
    </row>
    <row r="49" spans="2:17" ht="15" thickBot="1" x14ac:dyDescent="0.35">
      <c r="B49" s="399"/>
      <c r="C49" s="400" t="s">
        <v>27</v>
      </c>
      <c r="D49" s="35">
        <f>D8</f>
        <v>0</v>
      </c>
      <c r="E49" s="41" t="s">
        <v>15</v>
      </c>
      <c r="F49" s="225">
        <f>IF(E8="PLY",(SUM($I$12:$I$13))*H8/4,IF('GROSS LUMBER OUT'!E4&gt;5,I8*3*(SUM($I$12:$I$13)),I8*2*(SUM($I$12:$I$13))))</f>
        <v>0</v>
      </c>
      <c r="G49" s="226">
        <f>IF(AND(F49&gt;0,$F$57=TRUE,E49=""),"TYPE?",IF(AND(F49&gt;0,F58=FALSE,E49=""),"TYPE?",IF(AND(F49&gt;0,E49&gt;" "),VLOOKUP(E49,'NAIL COST REF'!$A$3:$B$12,2),0)))</f>
        <v>0</v>
      </c>
      <c r="H49" s="227">
        <f>IF(ISNUMBER(G49),G49*F49/100,0)</f>
        <v>0</v>
      </c>
      <c r="K49" s="26"/>
      <c r="L49" s="26"/>
      <c r="M49" s="26"/>
    </row>
    <row r="50" spans="2:17" ht="15" customHeight="1" thickBot="1" x14ac:dyDescent="0.35">
      <c r="B50" s="399" t="s">
        <v>31</v>
      </c>
      <c r="C50" s="400"/>
      <c r="D50" s="36">
        <f>D9</f>
        <v>0</v>
      </c>
      <c r="E50" s="42" t="s">
        <v>15</v>
      </c>
      <c r="F50" s="228">
        <f>IF(E9="PLY",(SUM($I$12:$I$13))*H9/4,IF('GROSS LUMBER OUT'!E5&gt;5,I9*3*(SUM($I$12:$I$13)),I9*2*(SUM($I$12:$I$13))))</f>
        <v>0</v>
      </c>
      <c r="G50" s="229">
        <f>IF(AND(F50&gt;0,$F$57=TRUE,E50=""),"TYPE?",IF(AND(F50&gt;0,F59=FALSE,E50=""),"TYPE?",IF(AND(F50&gt;0,E50&gt;" "),VLOOKUP(E50,'NAIL COST REF'!$A$3:$B$12,2),0)))</f>
        <v>0</v>
      </c>
      <c r="H50" s="230">
        <f>IF(ISNUMBER(G50),G50*F50/100,0)</f>
        <v>0</v>
      </c>
      <c r="J50" s="408" t="s">
        <v>98</v>
      </c>
      <c r="K50" s="409"/>
      <c r="L50" s="409"/>
      <c r="M50" s="409"/>
      <c r="N50" s="409"/>
      <c r="O50" s="409"/>
      <c r="P50" s="409"/>
      <c r="Q50" s="410"/>
    </row>
    <row r="51" spans="2:17" ht="15" customHeight="1" x14ac:dyDescent="0.3">
      <c r="B51" s="399" t="s">
        <v>25</v>
      </c>
      <c r="C51" s="400" t="s">
        <v>27</v>
      </c>
      <c r="D51" s="37">
        <f>D10</f>
        <v>0</v>
      </c>
      <c r="E51" s="43" t="s">
        <v>15</v>
      </c>
      <c r="F51" s="231">
        <f>IF(E10="PLY",(SUM($I$12:$I$13))*H10/4,IF('GROSS LUMBER OUT'!E6&gt;5,I10*3*(SUM($I$12:$I$13)),I10*2*(SUM($I$12:$I$13))))</f>
        <v>0</v>
      </c>
      <c r="G51" s="232">
        <f>IF(AND(F51&gt;0,$F$57=TRUE,E51=""),"TYPE?",IF(AND(F51&gt;0,F60=FALSE,E51=""),"TYPE?",IF(AND(F51&gt;0,E51&gt;" "),VLOOKUP(E51,'NAIL COST REF'!$A$3:$B$12,2),0)))</f>
        <v>0</v>
      </c>
      <c r="H51" s="233">
        <f>IF(ISNUMBER(G51),G51*F51/100,0)</f>
        <v>0</v>
      </c>
      <c r="J51" s="375" t="s">
        <v>93</v>
      </c>
      <c r="K51" s="376"/>
      <c r="L51" s="60">
        <f t="shared" ref="L51:Q51" si="10">1-L52</f>
        <v>0.19999999999999996</v>
      </c>
      <c r="M51" s="60">
        <f t="shared" si="10"/>
        <v>0.15000000000000002</v>
      </c>
      <c r="N51" s="60">
        <f t="shared" si="10"/>
        <v>0.125</v>
      </c>
      <c r="O51" s="182">
        <f t="shared" si="10"/>
        <v>9.9999999999999978E-2</v>
      </c>
      <c r="P51" s="182">
        <f t="shared" si="10"/>
        <v>7.999999999999996E-2</v>
      </c>
      <c r="Q51" s="61">
        <f t="shared" si="10"/>
        <v>0.25</v>
      </c>
    </row>
    <row r="52" spans="2:17" ht="15" customHeight="1" thickBot="1" x14ac:dyDescent="0.35">
      <c r="B52" s="476" t="s">
        <v>31</v>
      </c>
      <c r="C52" s="477"/>
      <c r="D52" s="39">
        <f>D11</f>
        <v>0</v>
      </c>
      <c r="E52" s="44" t="s">
        <v>15</v>
      </c>
      <c r="F52" s="234">
        <f>IF(E11="PLY",(SUM($I$12:$I$13))*H11/4,IF('GROSS LUMBER OUT'!E7&gt;5,I11*3*(SUM($I$12:$I$13)),I11*2*(SUM($I$12:$I$13))))</f>
        <v>0</v>
      </c>
      <c r="G52" s="235">
        <f>IF(AND(F52&gt;0,$F$57=TRUE,E52=""),"TYPE?",IF(AND(F52&gt;0,F61=FALSE,E52=""),"TYPE?",IF(AND(F52&gt;0,E52&gt;" "),VLOOKUP(E52,'NAIL COST REF'!$A$3:$B$12,2),0)))</f>
        <v>0</v>
      </c>
      <c r="H52" s="236">
        <f>IF(ISNUMBER(G52),G52*F52/100,0)</f>
        <v>0</v>
      </c>
      <c r="J52" s="377" t="s">
        <v>94</v>
      </c>
      <c r="K52" s="378"/>
      <c r="L52" s="62">
        <v>0.8</v>
      </c>
      <c r="M52" s="62">
        <v>0.85</v>
      </c>
      <c r="N52" s="62">
        <v>0.875</v>
      </c>
      <c r="O52" s="183">
        <v>0.9</v>
      </c>
      <c r="P52" s="183">
        <v>0.92</v>
      </c>
      <c r="Q52" s="63">
        <v>0.75</v>
      </c>
    </row>
    <row r="53" spans="2:17" ht="15" customHeight="1" thickBot="1" x14ac:dyDescent="0.35">
      <c r="B53" s="414" t="s">
        <v>58</v>
      </c>
      <c r="C53" s="406" t="b">
        <v>0</v>
      </c>
      <c r="D53" s="186"/>
      <c r="E53" s="175" t="s">
        <v>51</v>
      </c>
      <c r="F53" s="237">
        <f>SUM(F48:F52)</f>
        <v>0</v>
      </c>
      <c r="G53" s="208" cm="1">
        <f t="array" ref="G53">IFERROR(SUM(H48:H52/SUM(F48:F52))*100,0)</f>
        <v>0</v>
      </c>
      <c r="H53" s="209">
        <f>SUM(H48:H52)</f>
        <v>0</v>
      </c>
      <c r="J53" s="64" t="s">
        <v>95</v>
      </c>
      <c r="K53" s="70">
        <f>Q47</f>
        <v>0</v>
      </c>
      <c r="L53" s="67">
        <f t="shared" ref="L53:Q53" si="11">$K$53/L52</f>
        <v>0</v>
      </c>
      <c r="M53" s="67">
        <f t="shared" si="11"/>
        <v>0</v>
      </c>
      <c r="N53" s="67">
        <f t="shared" si="11"/>
        <v>0</v>
      </c>
      <c r="O53" s="184">
        <f t="shared" si="11"/>
        <v>0</v>
      </c>
      <c r="P53" s="184">
        <f t="shared" si="11"/>
        <v>0</v>
      </c>
      <c r="Q53" s="66">
        <f t="shared" si="11"/>
        <v>0</v>
      </c>
    </row>
    <row r="54" spans="2:17" ht="15" thickBot="1" x14ac:dyDescent="0.35">
      <c r="B54" s="415"/>
      <c r="C54" s="407"/>
      <c r="D54" s="142"/>
      <c r="J54" s="65" t="s">
        <v>96</v>
      </c>
      <c r="K54" s="71">
        <f>Q48</f>
        <v>0</v>
      </c>
      <c r="L54" s="69">
        <f t="shared" ref="L54:Q54" si="12">$K$54/L52</f>
        <v>0</v>
      </c>
      <c r="M54" s="69">
        <f t="shared" si="12"/>
        <v>0</v>
      </c>
      <c r="N54" s="69">
        <f t="shared" si="12"/>
        <v>0</v>
      </c>
      <c r="O54" s="185">
        <f t="shared" si="12"/>
        <v>0</v>
      </c>
      <c r="P54" s="185">
        <f t="shared" si="12"/>
        <v>0</v>
      </c>
      <c r="Q54" s="68">
        <f t="shared" si="12"/>
        <v>0</v>
      </c>
    </row>
    <row r="55" spans="2:17" ht="15" thickBot="1" x14ac:dyDescent="0.35">
      <c r="D55" s="12"/>
    </row>
    <row r="56" spans="2:17" ht="15" thickBot="1" x14ac:dyDescent="0.35">
      <c r="J56" s="408" t="s">
        <v>99</v>
      </c>
      <c r="K56" s="409"/>
      <c r="L56" s="409"/>
      <c r="M56" s="409"/>
      <c r="N56" s="409"/>
      <c r="O56" s="409"/>
      <c r="P56" s="409"/>
      <c r="Q56" s="410"/>
    </row>
    <row r="57" spans="2:17" x14ac:dyDescent="0.3">
      <c r="J57" s="371" t="s">
        <v>95</v>
      </c>
      <c r="K57" s="372"/>
      <c r="L57" s="67">
        <f t="shared" ref="L57:Q57" si="13">L53-$K$53</f>
        <v>0</v>
      </c>
      <c r="M57" s="67">
        <f t="shared" si="13"/>
        <v>0</v>
      </c>
      <c r="N57" s="67">
        <f t="shared" si="13"/>
        <v>0</v>
      </c>
      <c r="O57" s="184">
        <f t="shared" si="13"/>
        <v>0</v>
      </c>
      <c r="P57" s="184">
        <f t="shared" si="13"/>
        <v>0</v>
      </c>
      <c r="Q57" s="66">
        <f t="shared" si="13"/>
        <v>0</v>
      </c>
    </row>
    <row r="58" spans="2:17" ht="15" thickBot="1" x14ac:dyDescent="0.35">
      <c r="J58" s="373" t="s">
        <v>96</v>
      </c>
      <c r="K58" s="374"/>
      <c r="L58" s="69">
        <f t="shared" ref="L58:Q58" si="14">L54-$K$54</f>
        <v>0</v>
      </c>
      <c r="M58" s="69">
        <f t="shared" si="14"/>
        <v>0</v>
      </c>
      <c r="N58" s="69">
        <f t="shared" si="14"/>
        <v>0</v>
      </c>
      <c r="O58" s="185">
        <f t="shared" si="14"/>
        <v>0</v>
      </c>
      <c r="P58" s="185">
        <f t="shared" si="14"/>
        <v>0</v>
      </c>
      <c r="Q58" s="68">
        <f t="shared" si="14"/>
        <v>0</v>
      </c>
    </row>
  </sheetData>
  <sheetProtection selectLockedCells="1"/>
  <mergeCells count="74">
    <mergeCell ref="B12:C13"/>
    <mergeCell ref="C10:C11"/>
    <mergeCell ref="B45:H45"/>
    <mergeCell ref="B48:B52"/>
    <mergeCell ref="C48:C50"/>
    <mergeCell ref="C51:C52"/>
    <mergeCell ref="B26:D26"/>
    <mergeCell ref="C35:C36"/>
    <mergeCell ref="B40:D40"/>
    <mergeCell ref="B27:D27"/>
    <mergeCell ref="E17:K17"/>
    <mergeCell ref="J47:K47"/>
    <mergeCell ref="E30:K30"/>
    <mergeCell ref="B16:Q16"/>
    <mergeCell ref="O30:O31"/>
    <mergeCell ref="A5:A13"/>
    <mergeCell ref="C19:C21"/>
    <mergeCell ref="H46:H47"/>
    <mergeCell ref="D5:D6"/>
    <mergeCell ref="F5:H5"/>
    <mergeCell ref="B46:C47"/>
    <mergeCell ref="D46:D47"/>
    <mergeCell ref="C22:C23"/>
    <mergeCell ref="D17:D18"/>
    <mergeCell ref="B17:C18"/>
    <mergeCell ref="B42:D42"/>
    <mergeCell ref="B43:D43"/>
    <mergeCell ref="B32:B36"/>
    <mergeCell ref="C32:C34"/>
    <mergeCell ref="B37:C38"/>
    <mergeCell ref="B41:D41"/>
    <mergeCell ref="C2:E2"/>
    <mergeCell ref="B5:C6"/>
    <mergeCell ref="C7:C9"/>
    <mergeCell ref="E5:E6"/>
    <mergeCell ref="P5:P6"/>
    <mergeCell ref="K5:K6"/>
    <mergeCell ref="I5:I6"/>
    <mergeCell ref="G2:H2"/>
    <mergeCell ref="B7:B11"/>
    <mergeCell ref="L5:L6"/>
    <mergeCell ref="M5:M6"/>
    <mergeCell ref="O5:O6"/>
    <mergeCell ref="N5:N6"/>
    <mergeCell ref="B4:P4"/>
    <mergeCell ref="J5:J6"/>
    <mergeCell ref="J56:Q56"/>
    <mergeCell ref="N29:Q29"/>
    <mergeCell ref="J45:Q45"/>
    <mergeCell ref="B39:D39"/>
    <mergeCell ref="B53:B54"/>
    <mergeCell ref="E46:E47"/>
    <mergeCell ref="F46:F47"/>
    <mergeCell ref="G46:G47"/>
    <mergeCell ref="J48:K48"/>
    <mergeCell ref="J46:K46"/>
    <mergeCell ref="L30:M30"/>
    <mergeCell ref="J50:Q50"/>
    <mergeCell ref="J57:K57"/>
    <mergeCell ref="J58:K58"/>
    <mergeCell ref="J51:K51"/>
    <mergeCell ref="J52:K52"/>
    <mergeCell ref="N17:Q17"/>
    <mergeCell ref="P30:P31"/>
    <mergeCell ref="N30:N31"/>
    <mergeCell ref="N32:N34"/>
    <mergeCell ref="B29:M29"/>
    <mergeCell ref="Q30:Q31"/>
    <mergeCell ref="B30:C31"/>
    <mergeCell ref="D30:D31"/>
    <mergeCell ref="B24:C25"/>
    <mergeCell ref="B19:B23"/>
    <mergeCell ref="L17:M17"/>
    <mergeCell ref="C53:C54"/>
  </mergeCells>
  <conditionalFormatting sqref="F48:H53 Q47:Q48 P32:Q43 Q57:Q58 Q53:Q54 N53:N54 N57:N58 P27 E26:M26">
    <cfRule type="cellIs" dxfId="64" priority="126" operator="equal">
      <formula>0</formula>
    </cfRule>
  </conditionalFormatting>
  <conditionalFormatting sqref="N32 E48:E52 L2 C2:E2 N2 P2">
    <cfRule type="containsBlanks" dxfId="63" priority="141">
      <formula>LEN(TRIM(C2))=0</formula>
    </cfRule>
  </conditionalFormatting>
  <conditionalFormatting sqref="G48:G52">
    <cfRule type="cellIs" dxfId="62" priority="103" operator="equal">
      <formula>"TYPE?"</formula>
    </cfRule>
  </conditionalFormatting>
  <conditionalFormatting sqref="M54">
    <cfRule type="cellIs" dxfId="61" priority="93" operator="equal">
      <formula>0</formula>
    </cfRule>
  </conditionalFormatting>
  <conditionalFormatting sqref="J53:K54">
    <cfRule type="cellIs" dxfId="60" priority="96" operator="equal">
      <formula>0</formula>
    </cfRule>
  </conditionalFormatting>
  <conditionalFormatting sqref="M53">
    <cfRule type="cellIs" dxfId="59" priority="94" operator="equal">
      <formula>0</formula>
    </cfRule>
  </conditionalFormatting>
  <conditionalFormatting sqref="M57">
    <cfRule type="cellIs" dxfId="58" priority="88" operator="equal">
      <formula>0</formula>
    </cfRule>
  </conditionalFormatting>
  <conditionalFormatting sqref="M58">
    <cfRule type="cellIs" dxfId="57" priority="87" operator="equal">
      <formula>0</formula>
    </cfRule>
  </conditionalFormatting>
  <conditionalFormatting sqref="M47:M48">
    <cfRule type="cellIs" dxfId="56" priority="81" operator="equal">
      <formula>0</formula>
    </cfRule>
  </conditionalFormatting>
  <conditionalFormatting sqref="N47:N48">
    <cfRule type="cellIs" dxfId="55" priority="77" operator="equal">
      <formula>0</formula>
    </cfRule>
  </conditionalFormatting>
  <conditionalFormatting sqref="O7:P14 L7:L14">
    <cfRule type="cellIs" dxfId="54" priority="74" operator="equal">
      <formula>0</formula>
    </cfRule>
  </conditionalFormatting>
  <conditionalFormatting sqref="E7:I13">
    <cfRule type="containsBlanks" dxfId="53" priority="75">
      <formula>LEN(TRIM(E7))=0</formula>
    </cfRule>
  </conditionalFormatting>
  <conditionalFormatting sqref="M7:M14">
    <cfRule type="cellIs" dxfId="52" priority="73" operator="equal">
      <formula>0</formula>
    </cfRule>
  </conditionalFormatting>
  <conditionalFormatting sqref="N19:N25 P19:P25 E22:L25 E19:I21 K19:L21">
    <cfRule type="cellIs" dxfId="51" priority="70" operator="equal">
      <formula>"X"</formula>
    </cfRule>
  </conditionalFormatting>
  <conditionalFormatting sqref="Q19:Q25">
    <cfRule type="cellIs" dxfId="50" priority="68" operator="equal">
      <formula>"X"</formula>
    </cfRule>
  </conditionalFormatting>
  <conditionalFormatting sqref="Q19:Q25">
    <cfRule type="cellIs" dxfId="49" priority="66" operator="equal">
      <formula>"X"</formula>
    </cfRule>
  </conditionalFormatting>
  <conditionalFormatting sqref="M19:M25">
    <cfRule type="cellIs" dxfId="48" priority="64" operator="equal">
      <formula>"X"</formula>
    </cfRule>
  </conditionalFormatting>
  <conditionalFormatting sqref="E27:L27 N27">
    <cfRule type="cellIs" dxfId="47" priority="60" operator="equal">
      <formula>0</formula>
    </cfRule>
  </conditionalFormatting>
  <conditionalFormatting sqref="Q27">
    <cfRule type="cellIs" dxfId="46" priority="59" operator="equal">
      <formula>0</formula>
    </cfRule>
  </conditionalFormatting>
  <conditionalFormatting sqref="M27">
    <cfRule type="cellIs" dxfId="45" priority="58" operator="equal">
      <formula>0</formula>
    </cfRule>
  </conditionalFormatting>
  <conditionalFormatting sqref="E32:M41 E43:M43">
    <cfRule type="cellIs" dxfId="44" priority="42" operator="equal">
      <formula>0</formula>
    </cfRule>
    <cfRule type="cellIs" dxfId="43" priority="56" operator="equal">
      <formula>0</formula>
    </cfRule>
  </conditionalFormatting>
  <conditionalFormatting sqref="D48:D52 D32:D38 D19:D25 D7:D13">
    <cfRule type="cellIs" dxfId="42" priority="55" operator="equal">
      <formula>0</formula>
    </cfRule>
  </conditionalFormatting>
  <conditionalFormatting sqref="L47:L48">
    <cfRule type="cellIs" dxfId="41" priority="50" operator="equal">
      <formula>0</formula>
    </cfRule>
  </conditionalFormatting>
  <conditionalFormatting sqref="L54">
    <cfRule type="cellIs" dxfId="40" priority="48" operator="equal">
      <formula>0</formula>
    </cfRule>
  </conditionalFormatting>
  <conditionalFormatting sqref="L53">
    <cfRule type="cellIs" dxfId="39" priority="49" operator="equal">
      <formula>0</formula>
    </cfRule>
  </conditionalFormatting>
  <conditionalFormatting sqref="L58">
    <cfRule type="cellIs" dxfId="38" priority="46" operator="equal">
      <formula>0</formula>
    </cfRule>
  </conditionalFormatting>
  <conditionalFormatting sqref="L57">
    <cfRule type="cellIs" dxfId="37" priority="47" operator="equal">
      <formula>0</formula>
    </cfRule>
  </conditionalFormatting>
  <conditionalFormatting sqref="P47:P48">
    <cfRule type="cellIs" dxfId="36" priority="44" operator="equal">
      <formula>0</formula>
    </cfRule>
  </conditionalFormatting>
  <conditionalFormatting sqref="P47:P48">
    <cfRule type="containsBlanks" dxfId="35" priority="45">
      <formula>LEN(TRIM(P47))=0</formula>
    </cfRule>
  </conditionalFormatting>
  <conditionalFormatting sqref="P53:P54">
    <cfRule type="cellIs" dxfId="34" priority="43" operator="equal">
      <formula>0</formula>
    </cfRule>
  </conditionalFormatting>
  <conditionalFormatting sqref="N43">
    <cfRule type="cellIs" dxfId="33" priority="41" operator="equal">
      <formula>0</formula>
    </cfRule>
  </conditionalFormatting>
  <conditionalFormatting sqref="O27">
    <cfRule type="cellIs" dxfId="32" priority="31" operator="equal">
      <formula>0</formula>
    </cfRule>
  </conditionalFormatting>
  <conditionalFormatting sqref="O19:O25">
    <cfRule type="cellIs" dxfId="31" priority="30" operator="equal">
      <formula>"X"</formula>
    </cfRule>
  </conditionalFormatting>
  <conditionalFormatting sqref="O32:O43">
    <cfRule type="cellIs" dxfId="30" priority="29" operator="equal">
      <formula>0</formula>
    </cfRule>
  </conditionalFormatting>
  <conditionalFormatting sqref="O47:O48">
    <cfRule type="cellIs" dxfId="29" priority="27" operator="equal">
      <formula>0</formula>
    </cfRule>
  </conditionalFormatting>
  <conditionalFormatting sqref="O47:O48">
    <cfRule type="containsBlanks" dxfId="28" priority="28">
      <formula>LEN(TRIM(O47))=0</formula>
    </cfRule>
  </conditionalFormatting>
  <conditionalFormatting sqref="O53:O54">
    <cfRule type="cellIs" dxfId="27" priority="26" operator="equal">
      <formula>0</formula>
    </cfRule>
  </conditionalFormatting>
  <conditionalFormatting sqref="G2">
    <cfRule type="containsBlanks" dxfId="26" priority="25">
      <formula>LEN(TRIM(G2))=0</formula>
    </cfRule>
  </conditionalFormatting>
  <conditionalFormatting sqref="J2">
    <cfRule type="containsBlanks" dxfId="25" priority="24">
      <formula>LEN(TRIM(J2))=0</formula>
    </cfRule>
  </conditionalFormatting>
  <conditionalFormatting sqref="J19:J21">
    <cfRule type="cellIs" dxfId="24" priority="23" operator="equal">
      <formula>"X"</formula>
    </cfRule>
  </conditionalFormatting>
  <conditionalFormatting sqref="N7:N14">
    <cfRule type="cellIs" dxfId="23" priority="22" operator="equal">
      <formula>0</formula>
    </cfRule>
  </conditionalFormatting>
  <conditionalFormatting sqref="J7:J14">
    <cfRule type="cellIs" dxfId="22" priority="21" operator="equal">
      <formula>0</formula>
    </cfRule>
  </conditionalFormatting>
  <conditionalFormatting sqref="K7:K14">
    <cfRule type="cellIs" dxfId="21" priority="20" operator="equal">
      <formula>0</formula>
    </cfRule>
  </conditionalFormatting>
  <conditionalFormatting sqref="E42:L42">
    <cfRule type="cellIs" dxfId="20" priority="18" operator="equal">
      <formula>0</formula>
    </cfRule>
  </conditionalFormatting>
  <conditionalFormatting sqref="E42:L42">
    <cfRule type="cellIs" dxfId="19" priority="17" operator="equal">
      <formula>"X"</formula>
    </cfRule>
  </conditionalFormatting>
  <conditionalFormatting sqref="E42:M42">
    <cfRule type="containsBlanks" dxfId="18" priority="19">
      <formula>LEN(TRIM(E42))=0</formula>
    </cfRule>
  </conditionalFormatting>
  <conditionalFormatting sqref="M42">
    <cfRule type="cellIs" dxfId="17" priority="16" operator="equal">
      <formula>0</formula>
    </cfRule>
  </conditionalFormatting>
  <conditionalFormatting sqref="M42">
    <cfRule type="cellIs" dxfId="16" priority="15" operator="equal">
      <formula>"X"</formula>
    </cfRule>
  </conditionalFormatting>
  <conditionalFormatting sqref="N26:Q26">
    <cfRule type="cellIs" dxfId="15" priority="14" operator="equal">
      <formula>0</formula>
    </cfRule>
  </conditionalFormatting>
  <conditionalFormatting sqref="E40">
    <cfRule type="cellIs" dxfId="14" priority="1" operator="greaterThan">
      <formula>$E$39</formula>
    </cfRule>
  </conditionalFormatting>
  <conditionalFormatting sqref="F40">
    <cfRule type="cellIs" dxfId="13" priority="12" operator="greaterThan">
      <formula>$F$39</formula>
    </cfRule>
  </conditionalFormatting>
  <conditionalFormatting sqref="G40">
    <cfRule type="cellIs" dxfId="12" priority="11" operator="greaterThan">
      <formula>$G$39</formula>
    </cfRule>
  </conditionalFormatting>
  <conditionalFormatting sqref="H40">
    <cfRule type="cellIs" dxfId="11" priority="10" operator="greaterThan">
      <formula>$H$39</formula>
    </cfRule>
  </conditionalFormatting>
  <conditionalFormatting sqref="I40">
    <cfRule type="cellIs" dxfId="10" priority="9" operator="greaterThan">
      <formula>$I$39</formula>
    </cfRule>
  </conditionalFormatting>
  <conditionalFormatting sqref="J40">
    <cfRule type="cellIs" dxfId="9" priority="8" operator="greaterThan">
      <formula>$J$39</formula>
    </cfRule>
  </conditionalFormatting>
  <conditionalFormatting sqref="K40">
    <cfRule type="cellIs" dxfId="8" priority="7" operator="greaterThan">
      <formula>$K$39</formula>
    </cfRule>
  </conditionalFormatting>
  <conditionalFormatting sqref="L40">
    <cfRule type="cellIs" dxfId="7" priority="6" operator="greaterThan">
      <formula>$L$39</formula>
    </cfRule>
  </conditionalFormatting>
  <conditionalFormatting sqref="M40">
    <cfRule type="cellIs" dxfId="6" priority="5" operator="greaterThan">
      <formula>$M$39</formula>
    </cfRule>
  </conditionalFormatting>
  <conditionalFormatting sqref="O40">
    <cfRule type="cellIs" dxfId="5" priority="4" operator="greaterThan">
      <formula>$O$39</formula>
    </cfRule>
  </conditionalFormatting>
  <conditionalFormatting sqref="P40">
    <cfRule type="cellIs" dxfId="4" priority="3" operator="greaterThan">
      <formula>$P$39</formula>
    </cfRule>
  </conditionalFormatting>
  <conditionalFormatting sqref="Q40">
    <cfRule type="cellIs" dxfId="3" priority="2" operator="greaterThan">
      <formula>$Q$39</formula>
    </cfRule>
  </conditionalFormatting>
  <dataValidations disablePrompts="1" count="12">
    <dataValidation type="decimal" errorStyle="warning" allowBlank="1" showInputMessage="1" showErrorMessage="1" error="Check that dimension is valid" sqref="F7:F11" xr:uid="{C2521437-11AB-4596-89C2-9B19E8DF0BD6}">
      <formula1>0</formula1>
      <formula2>2</formula2>
    </dataValidation>
    <dataValidation type="decimal" errorStyle="warning" allowBlank="1" showInputMessage="1" showErrorMessage="1" error="Check that dimension is valid" sqref="H7:H13" xr:uid="{A91462D2-E9E6-497F-89E7-725C77791C81}">
      <formula1>12</formula1>
      <formula2>120</formula2>
    </dataValidation>
    <dataValidation type="whole" errorStyle="warning" allowBlank="1" showInputMessage="1" showErrorMessage="1" error="Check that quantity is valid" sqref="I7:I13" xr:uid="{D0EA3DA0-F610-42A3-927B-3DC009187816}">
      <formula1>1</formula1>
      <formula2>15</formula2>
    </dataValidation>
    <dataValidation type="whole" operator="greaterThanOrEqual" allowBlank="1" showInputMessage="1" showErrorMessage="1" errorTitle="Error" error="Enter valid quantity" sqref="P2" xr:uid="{7674256A-85FB-4BAD-A209-5D26B6E170E6}">
      <formula1>1</formula1>
    </dataValidation>
    <dataValidation type="decimal" errorStyle="warning" allowBlank="1" showInputMessage="1" showErrorMessage="1" error="Check that hours entered are valid" sqref="E42:M42" xr:uid="{DCED9B19-F7D5-48AD-BD02-128EE2CE5070}">
      <formula1>-10</formula1>
      <formula2>10</formula2>
    </dataValidation>
    <dataValidation type="decimal" errorStyle="warning" operator="greaterThan" allowBlank="1" showInputMessage="1" showErrorMessage="1" error="Check that cost entered is valid" sqref="O47:P48" xr:uid="{646E15B2-36C3-447D-B948-3FB7D17FE947}">
      <formula1>0</formula1>
    </dataValidation>
    <dataValidation type="decimal" errorStyle="warning" operator="greaterThan" allowBlank="1" showInputMessage="1" showErrorMessage="1" error="Check that miles entered is valid" sqref="J2" xr:uid="{82692F87-F0A9-4E68-A30C-6F37C8C020E9}">
      <formula1>0</formula1>
    </dataValidation>
    <dataValidation type="date" errorStyle="warning" operator="greaterThan" allowBlank="1" showInputMessage="1" showErrorMessage="1" error="Enter a valid date" prompt="MM/DD/YYYY_x000a_" sqref="C2:E2" xr:uid="{3E00BE13-BB79-47DF-B4B3-BEC72B0C1B7B}">
      <formula1>43831</formula1>
    </dataValidation>
    <dataValidation allowBlank="1" showInputMessage="1" showErrorMessage="1" prompt="LxW" sqref="L2" xr:uid="{DBB7AD9B-F0AF-48FB-9541-496920561A75}"/>
    <dataValidation allowBlank="1" showInputMessage="1" showErrorMessage="1" prompt="SW - Softwood_x000a_HW - Hardwood_x000a_PLY - Plywood_x000a_" sqref="N2" xr:uid="{0D75BF4C-37BA-4EB7-846A-CA15C97C9F1B}"/>
    <dataValidation type="decimal" errorStyle="warning" operator="greaterThan" allowBlank="1" showInputMessage="1" showErrorMessage="1" error="Check that dimension is valid" sqref="G7:G13" xr:uid="{32D6B319-46FC-4D66-BF5D-CDADB72E91D6}">
      <formula1>0</formula1>
    </dataValidation>
    <dataValidation allowBlank="1" showInputMessage="1" showErrorMessage="1" promptTitle="Note:" prompt="Setup time &gt; calculated labor when highlighted red" sqref="E40:Q40" xr:uid="{D702CBEB-C3F3-482D-B224-0449B5BDBD8C}"/>
  </dataValidations>
  <pageMargins left="0.25" right="0.25" top="0.25" bottom="0.25" header="0" footer="0"/>
  <pageSetup scale="64" orientation="landscape" r:id="rId1"/>
  <ignoredErrors>
    <ignoredError sqref="G53 L14" formula="1"/>
    <ignoredError sqref="N27:Q27" formulaRange="1"/>
  </ignoredErrors>
  <drawing r:id="rId2"/>
  <legacyDrawing r:id="rId3"/>
  <controls>
    <mc:AlternateContent xmlns:mc="http://schemas.openxmlformats.org/markup-compatibility/2006">
      <mc:Choice Requires="x14">
        <control shapeId="2093" r:id="rId4" name="CheckBox_nailtype">
          <controlPr defaultSize="0" autoLine="0" r:id="rId5">
            <anchor moveWithCells="1">
              <from>
                <xdr:col>1</xdr:col>
                <xdr:colOff>822960</xdr:colOff>
                <xdr:row>52</xdr:row>
                <xdr:rowOff>45720</xdr:rowOff>
              </from>
              <to>
                <xdr:col>2</xdr:col>
                <xdr:colOff>419100</xdr:colOff>
                <xdr:row>53</xdr:row>
                <xdr:rowOff>167640</xdr:rowOff>
              </to>
            </anchor>
          </controlPr>
        </control>
      </mc:Choice>
      <mc:Fallback>
        <control shapeId="2093" r:id="rId4" name="CheckBox_nailtyp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8EC44F8-C8D3-4301-AEF2-5E9452973287}">
          <x14:formula1>
            <xm:f>'NAIL COST REF'!$A$3:$A$12</xm:f>
          </x14:formula1>
          <xm:sqref>E49:E52</xm:sqref>
        </x14:dataValidation>
        <x14:dataValidation type="list" allowBlank="1" showInputMessage="1" showErrorMessage="1" xr:uid="{1741AAE4-56CA-423F-B3B1-436407162D72}">
          <x14:formula1>
            <xm:f>'NAIL COST REF'!$A$3:$A$13</xm:f>
          </x14:formula1>
          <xm:sqref>E48</xm:sqref>
        </x14:dataValidation>
        <x14:dataValidation type="list" errorStyle="warning" allowBlank="1" showInputMessage="1" showErrorMessage="1" error="Check that lumber type is valid" prompt="See list ^_x000a_" xr:uid="{10BF1146-ECFE-4734-8A02-C932346BE348}">
          <x14:formula1>
            <xm:f>'LUMBER COST REF'!$A$2:$A$13</xm:f>
          </x14:formula1>
          <xm:sqref>E7:E13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BDD48-489A-4494-B926-6A23CE04AA86}">
  <sheetPr codeName="Sheet10"/>
  <dimension ref="A1:L11"/>
  <sheetViews>
    <sheetView workbookViewId="0">
      <selection activeCell="J5" sqref="J5"/>
    </sheetView>
  </sheetViews>
  <sheetFormatPr defaultRowHeight="14.4" x14ac:dyDescent="0.3"/>
  <cols>
    <col min="1" max="1" width="11.109375" bestFit="1" customWidth="1"/>
    <col min="3" max="3" width="3.33203125" customWidth="1"/>
    <col min="4" max="12" width="12.6640625" customWidth="1"/>
  </cols>
  <sheetData>
    <row r="1" spans="1:12" ht="15" thickBot="1" x14ac:dyDescent="0.35">
      <c r="A1" s="490" t="s">
        <v>115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2"/>
    </row>
    <row r="2" spans="1:12" ht="15" thickBot="1" x14ac:dyDescent="0.35">
      <c r="A2" s="499" t="s">
        <v>52</v>
      </c>
      <c r="B2" s="497"/>
      <c r="C2" s="497" t="s">
        <v>53</v>
      </c>
      <c r="D2" s="493" t="s">
        <v>86</v>
      </c>
      <c r="E2" s="494"/>
      <c r="F2" s="494"/>
      <c r="G2" s="494"/>
      <c r="H2" s="494"/>
      <c r="I2" s="494"/>
      <c r="J2" s="495"/>
      <c r="K2" s="493" t="s">
        <v>87</v>
      </c>
      <c r="L2" s="495"/>
    </row>
    <row r="3" spans="1:12" ht="30" customHeight="1" thickBot="1" x14ac:dyDescent="0.35">
      <c r="A3" s="500"/>
      <c r="B3" s="498"/>
      <c r="C3" s="498"/>
      <c r="D3" s="88" t="s">
        <v>176</v>
      </c>
      <c r="E3" s="89" t="s">
        <v>177</v>
      </c>
      <c r="F3" s="89" t="s">
        <v>178</v>
      </c>
      <c r="G3" s="89" t="s">
        <v>179</v>
      </c>
      <c r="H3" s="89" t="s">
        <v>180</v>
      </c>
      <c r="I3" s="89" t="s">
        <v>184</v>
      </c>
      <c r="J3" s="90" t="s">
        <v>181</v>
      </c>
      <c r="K3" s="109" t="s">
        <v>182</v>
      </c>
      <c r="L3" s="91" t="s">
        <v>183</v>
      </c>
    </row>
    <row r="4" spans="1:12" x14ac:dyDescent="0.3">
      <c r="A4" s="496" t="s">
        <v>25</v>
      </c>
      <c r="B4" s="431" t="s">
        <v>26</v>
      </c>
      <c r="C4" s="92">
        <f>MAIN!D19</f>
        <v>0</v>
      </c>
      <c r="D4" s="93">
        <f>IF(MAIN!E19="X",VLOOKUP(MAIN!F7,'LABOR REF'!$A$5:$D$7,3),0)</f>
        <v>0</v>
      </c>
      <c r="E4" s="94">
        <f>IF(MAIN!F19="X",VLOOKUP('GROSS LUMBER OUT'!D3*'GROSS LUMBER OUT'!E3,'LABOR REF'!$A$13:$C$17,3),0)</f>
        <v>0</v>
      </c>
      <c r="F4" s="94">
        <f>_xlfn.IFNA(IF(MAIN!G19="X",VLOOKUP('GROSS LUMBER OUT'!E3*1000+'GROSS LUMBER OUT'!F3,'LABOR REF'!$D$23:$E$40,2),0),0)</f>
        <v>0</v>
      </c>
      <c r="G4" s="94">
        <f>IF(MAIN!H19="X",'LABOR REF'!$B$46,0)</f>
        <v>0</v>
      </c>
      <c r="H4" s="94">
        <f>IF(MAIN!I19="X",VLOOKUP(MAIN!H7,'LABOR REF'!$A$52:$C$55,3),0)</f>
        <v>0</v>
      </c>
      <c r="I4" s="94">
        <f>IF(MAIN!J19="X",INDEX('LABOR REF'!$B$62:$D$64,MATCH('GROSS LUMBER OUT'!G3,'LABOR REF'!$A$62:$A$64,1),MATCH('GROSS LUMBER OUT'!D3,'LABOR REF'!$B$61:$D$61,1)),0)</f>
        <v>0</v>
      </c>
      <c r="J4" s="95">
        <f>IF(MAIN!K19="X",'LABOR REF'!$B$70,0)</f>
        <v>0</v>
      </c>
      <c r="K4" s="308"/>
      <c r="L4" s="309"/>
    </row>
    <row r="5" spans="1:12" x14ac:dyDescent="0.3">
      <c r="A5" s="487"/>
      <c r="B5" s="433" t="s">
        <v>27</v>
      </c>
      <c r="C5" s="96">
        <f>MAIN!D20</f>
        <v>0</v>
      </c>
      <c r="D5" s="97">
        <f>IF(MAIN!E20="X",VLOOKUP(MAIN!F8,'LABOR REF'!$A$5:$D$7,3),0)</f>
        <v>0</v>
      </c>
      <c r="E5" s="98">
        <f>IF(MAIN!F20="X",VLOOKUP('GROSS LUMBER OUT'!D4*'GROSS LUMBER OUT'!E4,'LABOR REF'!$A$13:$C$17,3),0)</f>
        <v>0</v>
      </c>
      <c r="F5" s="98">
        <f>_xlfn.IFNA(IF(MAIN!G20="X",VLOOKUP('GROSS LUMBER OUT'!E4*1000+'GROSS LUMBER OUT'!F4,'LABOR REF'!$D$23:$E$40,2),0),0)</f>
        <v>0</v>
      </c>
      <c r="G5" s="98">
        <f>IF(MAIN!H20="X",'LABOR REF'!$B$46,0)</f>
        <v>0</v>
      </c>
      <c r="H5" s="98">
        <f>IF(MAIN!I20="X",VLOOKUP(MAIN!H8,'LABOR REF'!$A$52:$C$55,3),0)</f>
        <v>0</v>
      </c>
      <c r="I5" s="98">
        <f>IF(MAIN!J20="X",INDEX('LABOR REF'!$B$62:$D$64,MATCH('GROSS LUMBER OUT'!G4,'LABOR REF'!$A$62:$A$64,1),MATCH('GROSS LUMBER OUT'!D4,'LABOR REF'!$B$61:$D$61,1)),0)</f>
        <v>0</v>
      </c>
      <c r="J5" s="99">
        <f>IF(MAIN!K20="X",'LABOR REF'!$B$70,0)</f>
        <v>0</v>
      </c>
      <c r="K5" s="308"/>
      <c r="L5" s="310"/>
    </row>
    <row r="6" spans="1:12" ht="15" thickBot="1" x14ac:dyDescent="0.35">
      <c r="A6" s="487" t="s">
        <v>31</v>
      </c>
      <c r="B6" s="433"/>
      <c r="C6" s="100">
        <f>MAIN!D21</f>
        <v>0</v>
      </c>
      <c r="D6" s="101">
        <f>IF(MAIN!E21="X",VLOOKUP(MAIN!F9,'LABOR REF'!$A$5:$D$7,3),0)</f>
        <v>0</v>
      </c>
      <c r="E6" s="102">
        <f>IF(MAIN!F21="X",VLOOKUP('GROSS LUMBER OUT'!D5*'GROSS LUMBER OUT'!E5,'LABOR REF'!$A$13:$C$17,3),0)</f>
        <v>0</v>
      </c>
      <c r="F6" s="102">
        <f>_xlfn.IFNA(IF(MAIN!G21="X",VLOOKUP('GROSS LUMBER OUT'!E5*1000+'GROSS LUMBER OUT'!F5,'LABOR REF'!$D$23:$E$40,2),0),0)</f>
        <v>0</v>
      </c>
      <c r="G6" s="102">
        <f>IF(MAIN!H21="X",'LABOR REF'!$B$46,0)</f>
        <v>0</v>
      </c>
      <c r="H6" s="102">
        <f>IF(MAIN!I21="X",VLOOKUP(MAIN!H9,'LABOR REF'!$A$52:$C$55,3),0)</f>
        <v>0</v>
      </c>
      <c r="I6" s="102">
        <f>IF(MAIN!J21="X",INDEX('LABOR REF'!$B$62:$D$64,MATCH('GROSS LUMBER OUT'!G5,'LABOR REF'!$A$62:$A$64,1),MATCH('GROSS LUMBER OUT'!D5,'LABOR REF'!$B$61:$D$61,1)),0)</f>
        <v>0</v>
      </c>
      <c r="J6" s="103">
        <f>IF(MAIN!K21="X",'LABOR REF'!$B$70,0)</f>
        <v>0</v>
      </c>
      <c r="K6" s="311"/>
      <c r="L6" s="312"/>
    </row>
    <row r="7" spans="1:12" x14ac:dyDescent="0.3">
      <c r="A7" s="487" t="s">
        <v>25</v>
      </c>
      <c r="B7" s="433" t="s">
        <v>27</v>
      </c>
      <c r="C7" s="104">
        <f>MAIN!D22</f>
        <v>0</v>
      </c>
      <c r="D7" s="105">
        <f>IF(MAIN!E22="X",VLOOKUP(MAIN!F10,'LABOR REF'!$A$5:$D$7,3),0)</f>
        <v>0</v>
      </c>
      <c r="E7" s="106">
        <f>IF(MAIN!F22="X",VLOOKUP('GROSS LUMBER OUT'!D6*'GROSS LUMBER OUT'!E6,'LABOR REF'!$A$13:$C$17,3),0)</f>
        <v>0</v>
      </c>
      <c r="F7" s="106">
        <f>_xlfn.IFNA(IF(MAIN!G22="X",VLOOKUP('GROSS LUMBER OUT'!E6*1000+'GROSS LUMBER OUT'!F6,'LABOR REF'!$D$23:$E$40,2),0),0)</f>
        <v>0</v>
      </c>
      <c r="G7" s="106">
        <f>IF(MAIN!H22="X",'LABOR REF'!$B$46,0)</f>
        <v>0</v>
      </c>
      <c r="H7" s="106">
        <f>IF(MAIN!I22="X",VLOOKUP(MAIN!H10,'LABOR REF'!$A$52:$C$55,3),0)</f>
        <v>0</v>
      </c>
      <c r="I7" s="106">
        <f>IF(MAIN!J22="X",INDEX('LABOR REF'!$B$62:$D$64,MATCH('GROSS LUMBER OUT'!G6,'LABOR REF'!$A$62:$A$64,1),MATCH('GROSS LUMBER OUT'!D6,'LABOR REF'!$B$61:$D$61,1)),0)</f>
        <v>0</v>
      </c>
      <c r="J7" s="107">
        <f>IF(MAIN!K22="X",'LABOR REF'!$B$70,0)</f>
        <v>0</v>
      </c>
      <c r="K7" s="313"/>
      <c r="L7" s="314"/>
    </row>
    <row r="8" spans="1:12" ht="15" thickBot="1" x14ac:dyDescent="0.35">
      <c r="A8" s="487" t="s">
        <v>31</v>
      </c>
      <c r="B8" s="433"/>
      <c r="C8" s="100">
        <f>MAIN!D23</f>
        <v>0</v>
      </c>
      <c r="D8" s="101">
        <f>IF(MAIN!E23="X",VLOOKUP(MAIN!F11,'LABOR REF'!$A$5:$D$7,3),0)</f>
        <v>0</v>
      </c>
      <c r="E8" s="102">
        <f>IF(MAIN!F23="X",VLOOKUP('GROSS LUMBER OUT'!D7*'GROSS LUMBER OUT'!E7,'LABOR REF'!$A$13:$C$17,3),0)</f>
        <v>0</v>
      </c>
      <c r="F8" s="102">
        <f>_xlfn.IFNA(IF(MAIN!G23="X",VLOOKUP('GROSS LUMBER OUT'!E7*1000+'GROSS LUMBER OUT'!F7,'LABOR REF'!$D$23:$E$40,2),0),0)</f>
        <v>0</v>
      </c>
      <c r="G8" s="102">
        <f>IF(MAIN!H23="X",'LABOR REF'!$B$46,0)</f>
        <v>0</v>
      </c>
      <c r="H8" s="102">
        <f>IF(MAIN!I23="X",VLOOKUP(MAIN!H11,'LABOR REF'!$A$52:$C$55,3),0)</f>
        <v>0</v>
      </c>
      <c r="I8" s="102">
        <f>IF(MAIN!J23="X",INDEX('LABOR REF'!$B$62:$D$64,MATCH('GROSS LUMBER OUT'!G7,'LABOR REF'!$A$62:$A$64,1),MATCH('GROSS LUMBER OUT'!D7,'LABOR REF'!$B$61:$D$61,1)),0)</f>
        <v>0</v>
      </c>
      <c r="J8" s="103">
        <f>IF(MAIN!K23="X",'LABOR REF'!$B$70,0)</f>
        <v>0</v>
      </c>
      <c r="K8" s="311"/>
      <c r="L8" s="312"/>
    </row>
    <row r="9" spans="1:12" x14ac:dyDescent="0.3">
      <c r="A9" s="487" t="s">
        <v>31</v>
      </c>
      <c r="B9" s="433" t="s">
        <v>26</v>
      </c>
      <c r="C9" s="108">
        <f>MAIN!D24</f>
        <v>0</v>
      </c>
      <c r="D9" s="93">
        <f>IF(MAIN!E24="X",VLOOKUP(MAIN!F12,'LABOR REF'!$A$5:$D$7,3),0)</f>
        <v>0</v>
      </c>
      <c r="E9" s="94">
        <f>IF(MAIN!F24="X",VLOOKUP('GROSS LUMBER OUT'!D8*'GROSS LUMBER OUT'!E8,'LABOR REF'!$A$13:$C$17,3),0)</f>
        <v>0</v>
      </c>
      <c r="F9" s="94">
        <f>_xlfn.IFNA(IF(MAIN!G24="X",VLOOKUP('GROSS LUMBER OUT'!E8*1000+'GROSS LUMBER OUT'!F8,'LABOR REF'!$D$23:$E$40,2),0),0)</f>
        <v>0</v>
      </c>
      <c r="G9" s="94">
        <f>IF(MAIN!H24="X",'LABOR REF'!$B$46,0)</f>
        <v>0</v>
      </c>
      <c r="H9" s="94">
        <f>IF(MAIN!I24="X",VLOOKUP(MAIN!H12,'LABOR REF'!$A$52:$C$55,3),0)</f>
        <v>0</v>
      </c>
      <c r="I9" s="94">
        <f>IF(MAIN!J24="X",INDEX('LABOR REF'!$B$62:$D$64,MATCH('GROSS LUMBER OUT'!G8,'LABOR REF'!$A$62:$A$64,1),MATCH('GROSS LUMBER OUT'!D8,'LABOR REF'!$B$61:$D$61,1)),0)</f>
        <v>0</v>
      </c>
      <c r="J9" s="95">
        <f>IF(MAIN!K24="X",'LABOR REF'!$B$70,0)</f>
        <v>0</v>
      </c>
      <c r="K9" s="313"/>
      <c r="L9" s="314"/>
    </row>
    <row r="10" spans="1:12" ht="15" thickBot="1" x14ac:dyDescent="0.35">
      <c r="A10" s="488" t="s">
        <v>31</v>
      </c>
      <c r="B10" s="489"/>
      <c r="C10" s="100">
        <f>MAIN!D25</f>
        <v>0</v>
      </c>
      <c r="D10" s="101">
        <f>IF(MAIN!E25="X",VLOOKUP(MAIN!F13,'LABOR REF'!$A$5:$D$7,3),0)</f>
        <v>0</v>
      </c>
      <c r="E10" s="102">
        <f>IF(MAIN!F25="X",VLOOKUP('GROSS LUMBER OUT'!D9*'GROSS LUMBER OUT'!E9,'LABOR REF'!$A$13:$C$17,3),0)</f>
        <v>0</v>
      </c>
      <c r="F10" s="102">
        <f>_xlfn.IFNA(IF(MAIN!G25="X",VLOOKUP('GROSS LUMBER OUT'!E9*1000+'GROSS LUMBER OUT'!F9,'LABOR REF'!$D$23:$E$40,2),0),0)</f>
        <v>0</v>
      </c>
      <c r="G10" s="102">
        <f>IF(MAIN!H25="X",'LABOR REF'!$B$46,0)</f>
        <v>0</v>
      </c>
      <c r="H10" s="102">
        <f>IF(MAIN!I25="X",VLOOKUP(MAIN!H13,'LABOR REF'!$A$52:$C$55,3),0)</f>
        <v>0</v>
      </c>
      <c r="I10" s="102">
        <f>IF(MAIN!J25="X",INDEX('LABOR REF'!$B$62:$D$64,MATCH('GROSS LUMBER OUT'!G9,'LABOR REF'!$A$62:$A$64,1),MATCH('GROSS LUMBER OUT'!D9,'LABOR REF'!$B$61:$D$61,1)),0)</f>
        <v>0</v>
      </c>
      <c r="J10" s="103">
        <f>IF(MAIN!K25="X",'LABOR REF'!$B$70,0)</f>
        <v>0</v>
      </c>
      <c r="K10" s="311"/>
      <c r="L10" s="312"/>
    </row>
    <row r="11" spans="1:12" ht="15" thickBot="1" x14ac:dyDescent="0.35">
      <c r="A11" s="486"/>
      <c r="B11" s="486"/>
      <c r="C11" s="486"/>
      <c r="K11" s="318">
        <f>IF(AND(COUNTA(MAIN!$L$19:$L$25)&gt;0,SUM(MAIN!$I$12:$I$13)&gt;1),IF(MAIN!$H$12&lt;41,VLOOKUP(10000*SUM(MAIN!$I$12:$I$13)+100*SUM(MAIN!$I$7:$I$11)+MAIN!$H$12,'LABOR REF'!$D$77:$E$112,2),VLOOKUP(10000*SUM(MAIN!$I$12:$I$13)+100*SUM(MAIN!$I$7:$I$11)+MAIN!$H$12,'LABOR REF'!$F$77:$G$112,2)),0)</f>
        <v>0</v>
      </c>
      <c r="L11" s="318" t="b">
        <f>IF(AND(SUM(MAIN!$I$7:$I$9)&gt;0,SUM(MAIN!$I$12:$I$13)&gt;0,COUNTA(MAIN!$M$19:$M$25)&gt;0),VLOOKUP(SUM(MAIN!$F$48:$F$50)/SUM(MAIN!$I$12:$I$13),'LABOR REF'!$A$119:$E$129,IF(AND(MAIN!$H$12&gt;55,SUM(MAIN!$I$12:$I$13)&lt;=3),3,IF(AND(MAIN!$H$12&lt;=55,SUM(MAIN!$I$12:$I$13)&gt;3),4,IF(AND(MAIN!$H$12&gt;55,SUM(MAIN!$I$12:$I$13)&gt;3),5,2))),TRUE))</f>
        <v>0</v>
      </c>
    </row>
  </sheetData>
  <sheetProtection sheet="1" objects="1" scenarios="1"/>
  <mergeCells count="10">
    <mergeCell ref="A11:C11"/>
    <mergeCell ref="A9:B10"/>
    <mergeCell ref="A1:L1"/>
    <mergeCell ref="D2:J2"/>
    <mergeCell ref="K2:L2"/>
    <mergeCell ref="A4:A8"/>
    <mergeCell ref="B4:B6"/>
    <mergeCell ref="B7:B8"/>
    <mergeCell ref="C2:C3"/>
    <mergeCell ref="A2:B3"/>
  </mergeCells>
  <conditionalFormatting sqref="D4:L10">
    <cfRule type="cellIs" dxfId="2" priority="3" operator="equal">
      <formula>0</formula>
    </cfRule>
  </conditionalFormatting>
  <conditionalFormatting sqref="C4:C10 K11:L11">
    <cfRule type="cellIs" dxfId="1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99CA8-225F-48AB-BAD2-A39321C20002}">
  <sheetPr codeName="Sheet7"/>
  <dimension ref="A1:T155"/>
  <sheetViews>
    <sheetView topLeftCell="A44" workbookViewId="0">
      <selection activeCell="A15" sqref="A15"/>
    </sheetView>
  </sheetViews>
  <sheetFormatPr defaultRowHeight="14.4" x14ac:dyDescent="0.3"/>
  <cols>
    <col min="1" max="1" width="12.33203125" customWidth="1"/>
    <col min="2" max="2" width="12.44140625" customWidth="1"/>
    <col min="3" max="3" width="12.5546875" customWidth="1"/>
    <col min="4" max="4" width="13.6640625" customWidth="1"/>
    <col min="5" max="5" width="13.44140625" customWidth="1"/>
    <col min="6" max="6" width="13.5546875" customWidth="1"/>
    <col min="7" max="7" width="12.88671875" customWidth="1"/>
    <col min="8" max="8" width="10.33203125" customWidth="1"/>
    <col min="17" max="17" width="8.88671875" customWidth="1"/>
    <col min="18" max="19" width="9" customWidth="1"/>
    <col min="20" max="20" width="10" customWidth="1"/>
  </cols>
  <sheetData>
    <row r="1" spans="1:17" ht="14.4" customHeight="1" x14ac:dyDescent="0.3">
      <c r="A1" s="505" t="s">
        <v>62</v>
      </c>
      <c r="B1" s="509"/>
      <c r="C1" s="506"/>
      <c r="D1" s="283"/>
      <c r="E1" s="12"/>
    </row>
    <row r="2" spans="1:17" ht="15" thickBot="1" x14ac:dyDescent="0.35">
      <c r="A2" s="507" t="s">
        <v>61</v>
      </c>
      <c r="B2" s="510"/>
      <c r="C2" s="508"/>
      <c r="D2" s="283"/>
      <c r="E2" s="12"/>
    </row>
    <row r="3" spans="1:17" ht="14.4" customHeight="1" x14ac:dyDescent="0.3">
      <c r="A3" s="501" t="s">
        <v>143</v>
      </c>
      <c r="B3" s="511" t="s">
        <v>144</v>
      </c>
      <c r="C3" s="517" t="s">
        <v>141</v>
      </c>
      <c r="D3" s="330"/>
      <c r="Q3" s="12"/>
    </row>
    <row r="4" spans="1:17" ht="15.45" customHeight="1" thickBot="1" x14ac:dyDescent="0.35">
      <c r="A4" s="502"/>
      <c r="B4" s="512"/>
      <c r="C4" s="518"/>
      <c r="D4" s="330"/>
      <c r="Q4" s="12"/>
    </row>
    <row r="5" spans="1:17" ht="15" thickTop="1" x14ac:dyDescent="0.3">
      <c r="A5" s="85">
        <v>0</v>
      </c>
      <c r="B5" s="85">
        <v>0.61</v>
      </c>
      <c r="C5" s="284">
        <v>0.7142857142857143</v>
      </c>
      <c r="D5" s="12"/>
      <c r="Q5" s="12"/>
    </row>
    <row r="6" spans="1:17" x14ac:dyDescent="0.3">
      <c r="A6" s="85">
        <v>0.62</v>
      </c>
      <c r="B6" s="85">
        <v>1.3740000000000001</v>
      </c>
      <c r="C6" s="284">
        <v>0.8</v>
      </c>
      <c r="D6" s="12"/>
      <c r="E6" s="12"/>
    </row>
    <row r="7" spans="1:17" x14ac:dyDescent="0.3">
      <c r="A7" s="282">
        <v>1.375</v>
      </c>
      <c r="B7" s="282" t="s">
        <v>138</v>
      </c>
      <c r="C7" s="285">
        <v>0.90909090909090906</v>
      </c>
      <c r="D7" s="12"/>
      <c r="E7" s="12"/>
    </row>
    <row r="8" spans="1:17" x14ac:dyDescent="0.3">
      <c r="A8" s="12"/>
      <c r="B8" s="12"/>
      <c r="C8" s="12"/>
      <c r="D8" s="286"/>
      <c r="E8" s="286"/>
    </row>
    <row r="9" spans="1:17" ht="14.4" customHeight="1" x14ac:dyDescent="0.3">
      <c r="A9" s="505" t="s">
        <v>67</v>
      </c>
      <c r="B9" s="509"/>
      <c r="C9" s="506"/>
      <c r="D9" s="12"/>
      <c r="E9" s="12"/>
    </row>
    <row r="10" spans="1:17" ht="15" thickBot="1" x14ac:dyDescent="0.35">
      <c r="A10" s="507" t="s">
        <v>65</v>
      </c>
      <c r="B10" s="510"/>
      <c r="C10" s="508"/>
      <c r="D10" s="12"/>
      <c r="E10" s="12"/>
    </row>
    <row r="11" spans="1:17" ht="14.4" customHeight="1" x14ac:dyDescent="0.3">
      <c r="A11" s="501" t="s">
        <v>146</v>
      </c>
      <c r="B11" s="511" t="s">
        <v>142</v>
      </c>
      <c r="C11" s="503" t="s">
        <v>141</v>
      </c>
      <c r="D11" s="330"/>
    </row>
    <row r="12" spans="1:17" ht="15.6" customHeight="1" thickBot="1" x14ac:dyDescent="0.35">
      <c r="A12" s="502"/>
      <c r="B12" s="512"/>
      <c r="C12" s="504"/>
      <c r="D12" s="330"/>
    </row>
    <row r="13" spans="1:17" ht="15" thickTop="1" x14ac:dyDescent="0.3">
      <c r="A13" s="85">
        <v>1</v>
      </c>
      <c r="B13" s="85">
        <v>4</v>
      </c>
      <c r="C13" s="287">
        <f>B13^-1</f>
        <v>0.25</v>
      </c>
      <c r="D13" s="12"/>
      <c r="F13" s="83"/>
    </row>
    <row r="14" spans="1:17" x14ac:dyDescent="0.3">
      <c r="A14" s="85">
        <v>6</v>
      </c>
      <c r="B14" s="85">
        <v>3.34</v>
      </c>
      <c r="C14" s="284">
        <f>B14^-1</f>
        <v>0.29940119760479045</v>
      </c>
      <c r="D14" s="12"/>
      <c r="F14" s="83"/>
    </row>
    <row r="15" spans="1:17" x14ac:dyDescent="0.3">
      <c r="A15" s="85">
        <v>8</v>
      </c>
      <c r="B15" s="85">
        <v>2.86</v>
      </c>
      <c r="C15" s="284">
        <f>B15^-1</f>
        <v>0.34965034965034969</v>
      </c>
      <c r="D15" s="12"/>
      <c r="F15" s="83"/>
    </row>
    <row r="16" spans="1:17" x14ac:dyDescent="0.3">
      <c r="A16" s="85">
        <v>12</v>
      </c>
      <c r="B16" s="85">
        <v>2</v>
      </c>
      <c r="C16" s="284">
        <f>B16^-1</f>
        <v>0.5</v>
      </c>
      <c r="D16" s="12"/>
      <c r="F16" s="83"/>
    </row>
    <row r="17" spans="1:7" x14ac:dyDescent="0.3">
      <c r="A17" s="282">
        <v>16</v>
      </c>
      <c r="B17" s="282">
        <v>1.66</v>
      </c>
      <c r="C17" s="285">
        <f>B17^-1</f>
        <v>0.60240963855421692</v>
      </c>
      <c r="D17" s="12"/>
      <c r="F17" s="83"/>
    </row>
    <row r="18" spans="1:7" x14ac:dyDescent="0.3">
      <c r="F18" s="83"/>
    </row>
    <row r="19" spans="1:7" x14ac:dyDescent="0.3">
      <c r="A19" s="505" t="s">
        <v>64</v>
      </c>
      <c r="B19" s="509"/>
      <c r="C19" s="509"/>
      <c r="D19" s="509"/>
      <c r="E19" s="506"/>
    </row>
    <row r="20" spans="1:7" ht="15" thickBot="1" x14ac:dyDescent="0.35">
      <c r="A20" s="507" t="s">
        <v>66</v>
      </c>
      <c r="B20" s="510"/>
      <c r="C20" s="510"/>
      <c r="D20" s="510"/>
      <c r="E20" s="508"/>
    </row>
    <row r="21" spans="1:7" ht="14.4" customHeight="1" x14ac:dyDescent="0.3">
      <c r="A21" s="501" t="s">
        <v>111</v>
      </c>
      <c r="B21" s="511" t="s">
        <v>112</v>
      </c>
      <c r="C21" s="511" t="s">
        <v>113</v>
      </c>
      <c r="D21" s="515" t="s">
        <v>155</v>
      </c>
      <c r="E21" s="513" t="s">
        <v>109</v>
      </c>
      <c r="F21" s="330"/>
      <c r="G21" s="330"/>
    </row>
    <row r="22" spans="1:7" ht="15" thickBot="1" x14ac:dyDescent="0.35">
      <c r="A22" s="502"/>
      <c r="B22" s="512"/>
      <c r="C22" s="512"/>
      <c r="D22" s="516"/>
      <c r="E22" s="514"/>
      <c r="F22" s="330"/>
      <c r="G22" s="330"/>
    </row>
    <row r="23" spans="1:7" ht="15" thickTop="1" x14ac:dyDescent="0.3">
      <c r="A23" s="85">
        <v>4</v>
      </c>
      <c r="B23" s="85">
        <v>0</v>
      </c>
      <c r="C23" s="85">
        <v>54</v>
      </c>
      <c r="D23" s="85">
        <f>A23*1000+B23</f>
        <v>4000</v>
      </c>
      <c r="E23" s="319">
        <v>611.6207951070337</v>
      </c>
      <c r="F23" s="12"/>
      <c r="G23" s="12"/>
    </row>
    <row r="24" spans="1:7" x14ac:dyDescent="0.3">
      <c r="A24" s="85">
        <v>4</v>
      </c>
      <c r="B24" s="85">
        <v>55</v>
      </c>
      <c r="C24" s="86">
        <v>60</v>
      </c>
      <c r="D24" s="86">
        <f t="shared" ref="D24:D40" si="0">A24*1000+B24</f>
        <v>4055</v>
      </c>
      <c r="E24" s="320">
        <v>544.95912806539513</v>
      </c>
      <c r="F24" s="83"/>
    </row>
    <row r="25" spans="1:7" x14ac:dyDescent="0.3">
      <c r="A25" s="85">
        <v>4</v>
      </c>
      <c r="B25" s="85">
        <v>61</v>
      </c>
      <c r="C25" s="86">
        <v>66</v>
      </c>
      <c r="D25" s="86">
        <f t="shared" si="0"/>
        <v>4061</v>
      </c>
      <c r="E25" s="320">
        <v>526.31578947368428</v>
      </c>
      <c r="F25" s="83"/>
    </row>
    <row r="26" spans="1:7" x14ac:dyDescent="0.3">
      <c r="A26" s="85">
        <v>4</v>
      </c>
      <c r="B26" s="85">
        <v>67</v>
      </c>
      <c r="C26" s="86">
        <v>95</v>
      </c>
      <c r="D26" s="86">
        <f t="shared" si="0"/>
        <v>4067</v>
      </c>
      <c r="E26" s="320">
        <v>512.82051282051282</v>
      </c>
      <c r="F26" s="83"/>
    </row>
    <row r="27" spans="1:7" x14ac:dyDescent="0.3">
      <c r="A27" s="85">
        <v>4</v>
      </c>
      <c r="B27" s="85">
        <v>96</v>
      </c>
      <c r="C27" s="86">
        <v>119</v>
      </c>
      <c r="D27" s="86">
        <f t="shared" si="0"/>
        <v>4096</v>
      </c>
      <c r="E27" s="320">
        <v>230.34398034398035</v>
      </c>
      <c r="F27" s="83"/>
    </row>
    <row r="28" spans="1:7" x14ac:dyDescent="0.3">
      <c r="A28" s="85">
        <v>4</v>
      </c>
      <c r="B28" s="85">
        <v>120</v>
      </c>
      <c r="C28" s="86">
        <v>191</v>
      </c>
      <c r="D28" s="86">
        <f t="shared" si="0"/>
        <v>4120</v>
      </c>
      <c r="E28" s="320">
        <v>210.97046413502113</v>
      </c>
      <c r="F28" s="83"/>
    </row>
    <row r="29" spans="1:7" x14ac:dyDescent="0.3">
      <c r="A29" s="85">
        <v>4</v>
      </c>
      <c r="B29" s="85">
        <v>192</v>
      </c>
      <c r="C29" s="86">
        <v>192</v>
      </c>
      <c r="D29" s="86">
        <f t="shared" si="0"/>
        <v>4192</v>
      </c>
      <c r="E29" s="320">
        <v>264.83050847457628</v>
      </c>
      <c r="F29" s="83"/>
    </row>
    <row r="30" spans="1:7" x14ac:dyDescent="0.3">
      <c r="A30" s="86">
        <v>6</v>
      </c>
      <c r="B30" s="86">
        <v>0</v>
      </c>
      <c r="C30" s="86">
        <v>30</v>
      </c>
      <c r="D30" s="86">
        <f t="shared" si="0"/>
        <v>6000</v>
      </c>
      <c r="E30" s="320">
        <v>566.57223796033998</v>
      </c>
      <c r="F30" s="83"/>
    </row>
    <row r="31" spans="1:7" x14ac:dyDescent="0.3">
      <c r="A31" s="86">
        <v>6</v>
      </c>
      <c r="B31" s="86">
        <v>31</v>
      </c>
      <c r="C31" s="86">
        <v>36</v>
      </c>
      <c r="D31" s="86">
        <f t="shared" si="0"/>
        <v>6031</v>
      </c>
      <c r="E31" s="320">
        <v>539.08355795148248</v>
      </c>
    </row>
    <row r="32" spans="1:7" x14ac:dyDescent="0.3">
      <c r="A32" s="86">
        <v>6</v>
      </c>
      <c r="B32" s="86">
        <v>37</v>
      </c>
      <c r="C32" s="86">
        <v>42</v>
      </c>
      <c r="D32" s="86">
        <f t="shared" si="0"/>
        <v>6037</v>
      </c>
      <c r="E32" s="320">
        <v>514.13881748071981</v>
      </c>
    </row>
    <row r="33" spans="1:20" x14ac:dyDescent="0.3">
      <c r="A33" s="86">
        <v>6</v>
      </c>
      <c r="B33" s="86">
        <v>43</v>
      </c>
      <c r="C33" s="86">
        <v>48</v>
      </c>
      <c r="D33" s="86">
        <f t="shared" si="0"/>
        <v>6043</v>
      </c>
      <c r="E33" s="320">
        <v>496.27791563275434</v>
      </c>
    </row>
    <row r="34" spans="1:20" x14ac:dyDescent="0.3">
      <c r="A34" s="86">
        <v>6</v>
      </c>
      <c r="B34" s="86">
        <v>49</v>
      </c>
      <c r="C34" s="86">
        <v>54</v>
      </c>
      <c r="D34" s="86">
        <f t="shared" si="0"/>
        <v>6049</v>
      </c>
      <c r="E34" s="320">
        <v>476.1904761904762</v>
      </c>
    </row>
    <row r="35" spans="1:20" x14ac:dyDescent="0.3">
      <c r="A35" s="86">
        <v>6</v>
      </c>
      <c r="B35" s="86">
        <v>55</v>
      </c>
      <c r="C35" s="86">
        <v>60</v>
      </c>
      <c r="D35" s="86">
        <f t="shared" si="0"/>
        <v>6055</v>
      </c>
      <c r="E35" s="320">
        <v>461.89376443418013</v>
      </c>
    </row>
    <row r="36" spans="1:20" x14ac:dyDescent="0.3">
      <c r="A36" s="86">
        <v>6</v>
      </c>
      <c r="B36" s="86">
        <v>61</v>
      </c>
      <c r="C36" s="86">
        <v>66</v>
      </c>
      <c r="D36" s="86">
        <f t="shared" si="0"/>
        <v>6061</v>
      </c>
      <c r="E36" s="320">
        <v>446.42857142857144</v>
      </c>
    </row>
    <row r="37" spans="1:20" x14ac:dyDescent="0.3">
      <c r="A37" s="86">
        <v>6</v>
      </c>
      <c r="B37" s="86">
        <v>67</v>
      </c>
      <c r="C37" s="86">
        <v>95</v>
      </c>
      <c r="D37" s="86">
        <f t="shared" si="0"/>
        <v>6067</v>
      </c>
      <c r="E37" s="320">
        <v>436.68122270742356</v>
      </c>
    </row>
    <row r="38" spans="1:20" x14ac:dyDescent="0.3">
      <c r="A38" s="86">
        <v>6</v>
      </c>
      <c r="B38" s="86">
        <v>96</v>
      </c>
      <c r="C38" s="86">
        <v>119</v>
      </c>
      <c r="D38" s="86">
        <f t="shared" si="0"/>
        <v>6096</v>
      </c>
      <c r="E38" s="320">
        <v>166.44474034620507</v>
      </c>
    </row>
    <row r="39" spans="1:20" x14ac:dyDescent="0.3">
      <c r="A39" s="86">
        <v>6</v>
      </c>
      <c r="B39" s="86">
        <v>120</v>
      </c>
      <c r="C39" s="86">
        <v>191</v>
      </c>
      <c r="D39" s="86">
        <f t="shared" si="0"/>
        <v>6120</v>
      </c>
      <c r="E39" s="320">
        <v>138.50415512465375</v>
      </c>
    </row>
    <row r="40" spans="1:20" x14ac:dyDescent="0.3">
      <c r="A40" s="87">
        <v>6</v>
      </c>
      <c r="B40" s="87">
        <v>192</v>
      </c>
      <c r="C40" s="87">
        <v>192</v>
      </c>
      <c r="D40" s="87">
        <f t="shared" si="0"/>
        <v>6192</v>
      </c>
      <c r="E40" s="321">
        <v>192.30769230769229</v>
      </c>
    </row>
    <row r="42" spans="1:20" x14ac:dyDescent="0.3">
      <c r="A42" s="505" t="s">
        <v>150</v>
      </c>
      <c r="B42" s="506"/>
      <c r="R42" s="12"/>
      <c r="S42" s="12"/>
      <c r="T42" s="12"/>
    </row>
    <row r="43" spans="1:20" ht="15" thickBot="1" x14ac:dyDescent="0.35">
      <c r="A43" s="507" t="s">
        <v>147</v>
      </c>
      <c r="B43" s="508"/>
      <c r="R43" s="12"/>
      <c r="S43" s="12"/>
      <c r="T43" s="12"/>
    </row>
    <row r="44" spans="1:20" x14ac:dyDescent="0.3">
      <c r="A44" s="501" t="s">
        <v>148</v>
      </c>
      <c r="B44" s="503" t="s">
        <v>109</v>
      </c>
      <c r="C44" s="330"/>
      <c r="D44" s="330"/>
    </row>
    <row r="45" spans="1:20" ht="15" thickBot="1" x14ac:dyDescent="0.35">
      <c r="A45" s="502"/>
      <c r="B45" s="504"/>
      <c r="C45" s="330"/>
      <c r="D45" s="330"/>
    </row>
    <row r="46" spans="1:20" ht="15" thickTop="1" x14ac:dyDescent="0.3">
      <c r="A46" s="282" t="s">
        <v>149</v>
      </c>
      <c r="B46" s="288">
        <v>625</v>
      </c>
      <c r="D46" s="12"/>
    </row>
    <row r="47" spans="1:20" x14ac:dyDescent="0.3">
      <c r="A47" s="288"/>
      <c r="B47" s="288"/>
      <c r="C47" s="12"/>
    </row>
    <row r="48" spans="1:20" ht="14.4" customHeight="1" x14ac:dyDescent="0.3">
      <c r="A48" s="505" t="s">
        <v>68</v>
      </c>
      <c r="B48" s="509"/>
      <c r="C48" s="506"/>
    </row>
    <row r="49" spans="1:5" ht="14.4" customHeight="1" thickBot="1" x14ac:dyDescent="0.35">
      <c r="A49" s="507" t="s">
        <v>69</v>
      </c>
      <c r="B49" s="510"/>
      <c r="C49" s="508"/>
    </row>
    <row r="50" spans="1:5" ht="14.4" customHeight="1" x14ac:dyDescent="0.3">
      <c r="A50" s="522" t="s">
        <v>112</v>
      </c>
      <c r="B50" s="520" t="s">
        <v>113</v>
      </c>
      <c r="C50" s="519" t="s">
        <v>109</v>
      </c>
      <c r="D50" s="330"/>
      <c r="E50" s="330"/>
    </row>
    <row r="51" spans="1:5" ht="15" thickBot="1" x14ac:dyDescent="0.35">
      <c r="A51" s="502"/>
      <c r="B51" s="512"/>
      <c r="C51" s="504"/>
      <c r="D51" s="330"/>
      <c r="E51" s="330"/>
    </row>
    <row r="52" spans="1:5" ht="15" thickTop="1" x14ac:dyDescent="0.3">
      <c r="A52" s="85">
        <v>0</v>
      </c>
      <c r="B52" s="85">
        <v>41</v>
      </c>
      <c r="C52" s="290">
        <v>561.79775280898878</v>
      </c>
      <c r="E52" s="12"/>
    </row>
    <row r="53" spans="1:5" x14ac:dyDescent="0.3">
      <c r="A53" s="85">
        <v>42</v>
      </c>
      <c r="B53" s="85">
        <v>54</v>
      </c>
      <c r="C53" s="291">
        <v>561.79775280898878</v>
      </c>
    </row>
    <row r="54" spans="1:5" x14ac:dyDescent="0.3">
      <c r="A54" s="85">
        <v>55</v>
      </c>
      <c r="B54" s="85">
        <v>66</v>
      </c>
      <c r="C54" s="291">
        <v>543.47826086956525</v>
      </c>
    </row>
    <row r="55" spans="1:5" x14ac:dyDescent="0.3">
      <c r="A55" s="282">
        <v>67</v>
      </c>
      <c r="B55" s="289" t="s">
        <v>145</v>
      </c>
      <c r="C55" s="292">
        <v>510.20408163265307</v>
      </c>
    </row>
    <row r="57" spans="1:5" x14ac:dyDescent="0.3">
      <c r="A57" s="505" t="s">
        <v>156</v>
      </c>
      <c r="B57" s="509"/>
      <c r="C57" s="509"/>
      <c r="D57" s="509"/>
      <c r="E57" s="283"/>
    </row>
    <row r="58" spans="1:5" ht="15" thickBot="1" x14ac:dyDescent="0.35">
      <c r="A58" s="507" t="s">
        <v>71</v>
      </c>
      <c r="B58" s="510"/>
      <c r="C58" s="510"/>
      <c r="D58" s="510"/>
      <c r="E58" s="283"/>
    </row>
    <row r="59" spans="1:5" ht="14.4" customHeight="1" x14ac:dyDescent="0.3">
      <c r="A59" s="522" t="s">
        <v>151</v>
      </c>
      <c r="B59" s="511" t="s">
        <v>152</v>
      </c>
      <c r="C59" s="511" t="s">
        <v>153</v>
      </c>
      <c r="D59" s="521" t="s">
        <v>154</v>
      </c>
      <c r="E59" s="12"/>
    </row>
    <row r="60" spans="1:5" x14ac:dyDescent="0.3">
      <c r="A60" s="501"/>
      <c r="B60" s="511"/>
      <c r="C60" s="511"/>
      <c r="D60" s="521"/>
      <c r="E60" s="12"/>
    </row>
    <row r="61" spans="1:5" ht="15" thickBot="1" x14ac:dyDescent="0.35">
      <c r="A61" s="502"/>
      <c r="B61" s="189">
        <v>0.375</v>
      </c>
      <c r="C61" s="189">
        <v>0.5</v>
      </c>
      <c r="D61" s="293">
        <v>0.625</v>
      </c>
      <c r="E61" s="12"/>
    </row>
    <row r="62" spans="1:5" ht="15" thickTop="1" x14ac:dyDescent="0.3">
      <c r="A62" s="85">
        <v>0</v>
      </c>
      <c r="B62" s="294">
        <v>172.11703958691911</v>
      </c>
      <c r="C62" s="294">
        <v>129.36610608020698</v>
      </c>
      <c r="D62" s="290">
        <v>114.6788990825688</v>
      </c>
      <c r="E62" s="12"/>
    </row>
    <row r="63" spans="1:5" x14ac:dyDescent="0.3">
      <c r="A63" s="85">
        <v>5</v>
      </c>
      <c r="B63" s="294">
        <v>111.98208286674132</v>
      </c>
      <c r="C63" s="295">
        <v>84.17508417508418</v>
      </c>
      <c r="D63" s="291">
        <v>74.626865671641781</v>
      </c>
      <c r="E63" s="12"/>
    </row>
    <row r="64" spans="1:5" x14ac:dyDescent="0.3">
      <c r="A64" s="282">
        <v>9</v>
      </c>
      <c r="B64" s="296">
        <v>80</v>
      </c>
      <c r="C64" s="297">
        <v>60.132291040288635</v>
      </c>
      <c r="D64" s="292">
        <v>53.333333333333336</v>
      </c>
      <c r="E64" s="12"/>
    </row>
    <row r="65" spans="1:7" x14ac:dyDescent="0.3">
      <c r="A65" s="12"/>
      <c r="B65" s="12"/>
      <c r="C65" s="12"/>
      <c r="D65" s="12"/>
      <c r="E65" s="12"/>
    </row>
    <row r="66" spans="1:7" x14ac:dyDescent="0.3">
      <c r="A66" s="505" t="s">
        <v>70</v>
      </c>
      <c r="B66" s="509"/>
      <c r="C66" s="283"/>
      <c r="D66" s="12"/>
    </row>
    <row r="67" spans="1:7" ht="15" thickBot="1" x14ac:dyDescent="0.35">
      <c r="A67" s="507" t="s">
        <v>157</v>
      </c>
      <c r="B67" s="510"/>
      <c r="C67" s="283"/>
      <c r="D67" s="12"/>
    </row>
    <row r="68" spans="1:7" x14ac:dyDescent="0.3">
      <c r="A68" s="501" t="s">
        <v>148</v>
      </c>
      <c r="B68" s="503" t="s">
        <v>141</v>
      </c>
      <c r="C68" s="12"/>
      <c r="D68" s="12"/>
    </row>
    <row r="69" spans="1:7" ht="15" thickBot="1" x14ac:dyDescent="0.35">
      <c r="A69" s="502"/>
      <c r="B69" s="504"/>
    </row>
    <row r="70" spans="1:7" ht="15" thickTop="1" x14ac:dyDescent="0.3">
      <c r="A70" s="282" t="s">
        <v>149</v>
      </c>
      <c r="B70" s="288">
        <v>2.3980815347721824</v>
      </c>
    </row>
    <row r="72" spans="1:7" x14ac:dyDescent="0.3">
      <c r="A72" s="505" t="s">
        <v>72</v>
      </c>
      <c r="B72" s="509"/>
      <c r="C72" s="509"/>
      <c r="D72" s="509"/>
      <c r="E72" s="509"/>
      <c r="F72" s="509"/>
      <c r="G72" s="506"/>
    </row>
    <row r="73" spans="1:7" ht="15" thickBot="1" x14ac:dyDescent="0.35">
      <c r="A73" s="507" t="s">
        <v>162</v>
      </c>
      <c r="B73" s="510"/>
      <c r="C73" s="510"/>
      <c r="D73" s="510"/>
      <c r="E73" s="510"/>
      <c r="F73" s="510"/>
      <c r="G73" s="508"/>
    </row>
    <row r="74" spans="1:7" ht="14.4" customHeight="1" x14ac:dyDescent="0.3">
      <c r="A74" s="522" t="s">
        <v>158</v>
      </c>
      <c r="B74" s="520" t="s">
        <v>159</v>
      </c>
      <c r="C74" s="520" t="s">
        <v>160</v>
      </c>
      <c r="D74" s="523" t="s">
        <v>163</v>
      </c>
      <c r="E74" s="524"/>
      <c r="F74" s="523" t="s">
        <v>164</v>
      </c>
      <c r="G74" s="525"/>
    </row>
    <row r="75" spans="1:7" ht="14.4" customHeight="1" x14ac:dyDescent="0.3">
      <c r="A75" s="501"/>
      <c r="B75" s="511"/>
      <c r="C75" s="511"/>
      <c r="D75" s="511" t="s">
        <v>165</v>
      </c>
      <c r="E75" s="501" t="s">
        <v>161</v>
      </c>
      <c r="F75" s="511" t="s">
        <v>165</v>
      </c>
      <c r="G75" s="503" t="s">
        <v>161</v>
      </c>
    </row>
    <row r="76" spans="1:7" ht="15" thickBot="1" x14ac:dyDescent="0.35">
      <c r="A76" s="502"/>
      <c r="B76" s="512"/>
      <c r="C76" s="512"/>
      <c r="D76" s="512"/>
      <c r="E76" s="502"/>
      <c r="F76" s="512"/>
      <c r="G76" s="504"/>
    </row>
    <row r="77" spans="1:7" ht="15" thickTop="1" x14ac:dyDescent="0.3">
      <c r="A77" s="85">
        <v>2</v>
      </c>
      <c r="B77" s="85">
        <v>0</v>
      </c>
      <c r="C77" s="85">
        <v>0</v>
      </c>
      <c r="D77" s="85">
        <v>20000</v>
      </c>
      <c r="E77" s="317">
        <v>26.315789473684212</v>
      </c>
      <c r="F77" s="85">
        <v>20500</v>
      </c>
      <c r="G77" s="322">
        <v>25</v>
      </c>
    </row>
    <row r="78" spans="1:7" x14ac:dyDescent="0.3">
      <c r="A78" s="85">
        <v>2</v>
      </c>
      <c r="B78" s="85">
        <v>5</v>
      </c>
      <c r="C78" s="85">
        <v>41</v>
      </c>
      <c r="D78" s="85">
        <v>20541</v>
      </c>
      <c r="E78" s="317">
        <v>23.809523809523807</v>
      </c>
      <c r="F78" s="85">
        <v>20541</v>
      </c>
      <c r="G78" s="322">
        <v>22.727272727272727</v>
      </c>
    </row>
    <row r="79" spans="1:7" x14ac:dyDescent="0.3">
      <c r="A79" s="85">
        <v>2</v>
      </c>
      <c r="B79" s="85">
        <v>5</v>
      </c>
      <c r="C79" s="85">
        <v>50</v>
      </c>
      <c r="D79" s="85">
        <v>20550</v>
      </c>
      <c r="E79" s="317">
        <v>22.727272727272727</v>
      </c>
      <c r="F79" s="85">
        <v>20550</v>
      </c>
      <c r="G79" s="322">
        <v>21.739130434782609</v>
      </c>
    </row>
    <row r="80" spans="1:7" x14ac:dyDescent="0.3">
      <c r="A80" s="85">
        <v>2</v>
      </c>
      <c r="B80" s="85">
        <v>6</v>
      </c>
      <c r="C80" s="85">
        <v>0</v>
      </c>
      <c r="D80" s="85">
        <v>20600</v>
      </c>
      <c r="E80" s="317">
        <v>25</v>
      </c>
      <c r="F80" s="85">
        <v>20600</v>
      </c>
      <c r="G80" s="322">
        <v>22.727272727272727</v>
      </c>
    </row>
    <row r="81" spans="1:7" x14ac:dyDescent="0.3">
      <c r="A81" s="85">
        <v>2</v>
      </c>
      <c r="B81" s="85">
        <v>6</v>
      </c>
      <c r="C81" s="85">
        <v>41</v>
      </c>
      <c r="D81" s="85">
        <v>20641</v>
      </c>
      <c r="E81" s="317">
        <v>23.809523809523807</v>
      </c>
      <c r="F81" s="85">
        <v>20641</v>
      </c>
      <c r="G81" s="322">
        <v>21.739130434782609</v>
      </c>
    </row>
    <row r="82" spans="1:7" x14ac:dyDescent="0.3">
      <c r="A82" s="85">
        <v>2</v>
      </c>
      <c r="B82" s="85">
        <v>6</v>
      </c>
      <c r="C82" s="85">
        <v>50</v>
      </c>
      <c r="D82" s="85">
        <v>20650</v>
      </c>
      <c r="E82" s="317">
        <v>22.727272727272727</v>
      </c>
      <c r="F82" s="85">
        <v>20650</v>
      </c>
      <c r="G82" s="322">
        <v>20.833333333333332</v>
      </c>
    </row>
    <row r="83" spans="1:7" x14ac:dyDescent="0.3">
      <c r="A83" s="85">
        <v>2</v>
      </c>
      <c r="B83" s="85">
        <v>7</v>
      </c>
      <c r="C83" s="85">
        <v>0</v>
      </c>
      <c r="D83" s="85">
        <v>20700</v>
      </c>
      <c r="E83" s="317">
        <v>23.809523809523807</v>
      </c>
      <c r="F83" s="85">
        <v>20700</v>
      </c>
      <c r="G83" s="322">
        <v>22.727272727272727</v>
      </c>
    </row>
    <row r="84" spans="1:7" x14ac:dyDescent="0.3">
      <c r="A84" s="85">
        <v>2</v>
      </c>
      <c r="B84" s="85">
        <v>7</v>
      </c>
      <c r="C84" s="85">
        <v>41</v>
      </c>
      <c r="D84" s="85">
        <v>20741</v>
      </c>
      <c r="E84" s="317">
        <v>22.727272727272727</v>
      </c>
      <c r="F84" s="85">
        <v>20741</v>
      </c>
      <c r="G84" s="322">
        <v>20.833333333333332</v>
      </c>
    </row>
    <row r="85" spans="1:7" x14ac:dyDescent="0.3">
      <c r="A85" s="85">
        <v>2</v>
      </c>
      <c r="B85" s="85">
        <v>7</v>
      </c>
      <c r="C85" s="85">
        <v>50</v>
      </c>
      <c r="D85" s="85">
        <v>20750</v>
      </c>
      <c r="E85" s="317">
        <v>21.739130434782609</v>
      </c>
      <c r="F85" s="85">
        <v>20750</v>
      </c>
      <c r="G85" s="322">
        <v>20</v>
      </c>
    </row>
    <row r="86" spans="1:7" x14ac:dyDescent="0.3">
      <c r="A86" s="85">
        <v>2</v>
      </c>
      <c r="B86" s="85">
        <v>8</v>
      </c>
      <c r="C86" s="85">
        <v>0</v>
      </c>
      <c r="D86" s="85">
        <v>20800</v>
      </c>
      <c r="E86" s="317">
        <v>22.727272727272727</v>
      </c>
      <c r="F86" s="85">
        <v>20800</v>
      </c>
      <c r="G86" s="322">
        <v>21.739130434782609</v>
      </c>
    </row>
    <row r="87" spans="1:7" x14ac:dyDescent="0.3">
      <c r="A87" s="85">
        <v>2</v>
      </c>
      <c r="B87" s="85">
        <v>8</v>
      </c>
      <c r="C87" s="85">
        <v>41</v>
      </c>
      <c r="D87" s="85">
        <v>20841</v>
      </c>
      <c r="E87" s="317">
        <v>21.739130434782609</v>
      </c>
      <c r="F87" s="85">
        <v>20841</v>
      </c>
      <c r="G87" s="322">
        <v>21.739130434782609</v>
      </c>
    </row>
    <row r="88" spans="1:7" x14ac:dyDescent="0.3">
      <c r="A88" s="85">
        <v>2</v>
      </c>
      <c r="B88" s="85">
        <v>8</v>
      </c>
      <c r="C88" s="85">
        <v>50</v>
      </c>
      <c r="D88" s="85">
        <v>20850</v>
      </c>
      <c r="E88" s="317">
        <v>20.833333333333332</v>
      </c>
      <c r="F88" s="85">
        <v>20850</v>
      </c>
      <c r="G88" s="322">
        <v>20</v>
      </c>
    </row>
    <row r="89" spans="1:7" x14ac:dyDescent="0.3">
      <c r="A89" s="85">
        <v>3</v>
      </c>
      <c r="B89" s="85">
        <v>5</v>
      </c>
      <c r="C89" s="85">
        <v>0</v>
      </c>
      <c r="D89" s="85">
        <v>30500</v>
      </c>
      <c r="E89" s="317">
        <v>21.739130434782609</v>
      </c>
      <c r="F89" s="85">
        <v>30500</v>
      </c>
      <c r="G89" s="322">
        <v>19.23076923076923</v>
      </c>
    </row>
    <row r="90" spans="1:7" x14ac:dyDescent="0.3">
      <c r="A90" s="85">
        <v>3</v>
      </c>
      <c r="B90" s="85">
        <v>5</v>
      </c>
      <c r="C90" s="85">
        <v>41</v>
      </c>
      <c r="D90" s="85">
        <v>30541</v>
      </c>
      <c r="E90" s="317">
        <v>20.833333333333332</v>
      </c>
      <c r="F90" s="85">
        <v>30541</v>
      </c>
      <c r="G90" s="322">
        <v>18.518518518518519</v>
      </c>
    </row>
    <row r="91" spans="1:7" x14ac:dyDescent="0.3">
      <c r="A91" s="85">
        <v>3</v>
      </c>
      <c r="B91" s="85">
        <v>5</v>
      </c>
      <c r="C91" s="85">
        <v>50</v>
      </c>
      <c r="D91" s="85">
        <v>30550</v>
      </c>
      <c r="E91" s="317">
        <v>19.23076923076923</v>
      </c>
      <c r="F91" s="85">
        <v>30550</v>
      </c>
      <c r="G91" s="322">
        <v>17.241379310344826</v>
      </c>
    </row>
    <row r="92" spans="1:7" x14ac:dyDescent="0.3">
      <c r="A92" s="85">
        <v>3</v>
      </c>
      <c r="B92" s="85">
        <v>6</v>
      </c>
      <c r="C92" s="85">
        <v>0</v>
      </c>
      <c r="D92" s="85">
        <v>30600</v>
      </c>
      <c r="E92" s="317">
        <v>20</v>
      </c>
      <c r="F92" s="85">
        <v>30600</v>
      </c>
      <c r="G92" s="322">
        <v>19.23076923076923</v>
      </c>
    </row>
    <row r="93" spans="1:7" x14ac:dyDescent="0.3">
      <c r="A93" s="85">
        <v>3</v>
      </c>
      <c r="B93" s="85">
        <v>6</v>
      </c>
      <c r="C93" s="85">
        <v>41</v>
      </c>
      <c r="D93" s="85">
        <v>30641</v>
      </c>
      <c r="E93" s="317">
        <v>19.23076923076923</v>
      </c>
      <c r="F93" s="85">
        <v>30641</v>
      </c>
      <c r="G93" s="322">
        <v>17.857142857142858</v>
      </c>
    </row>
    <row r="94" spans="1:7" x14ac:dyDescent="0.3">
      <c r="A94" s="85">
        <v>3</v>
      </c>
      <c r="B94" s="85">
        <v>6</v>
      </c>
      <c r="C94" s="85">
        <v>50</v>
      </c>
      <c r="D94" s="85">
        <v>30650</v>
      </c>
      <c r="E94" s="317">
        <v>17.857142857142858</v>
      </c>
      <c r="F94" s="85">
        <v>30650</v>
      </c>
      <c r="G94" s="322">
        <v>16.666666666666668</v>
      </c>
    </row>
    <row r="95" spans="1:7" x14ac:dyDescent="0.3">
      <c r="A95" s="85">
        <v>3</v>
      </c>
      <c r="B95" s="85">
        <v>7</v>
      </c>
      <c r="C95" s="85">
        <v>0</v>
      </c>
      <c r="D95" s="85">
        <v>30700</v>
      </c>
      <c r="E95" s="317">
        <v>19.23076923076923</v>
      </c>
      <c r="F95" s="85">
        <v>30700</v>
      </c>
      <c r="G95" s="322">
        <v>18.518518518518519</v>
      </c>
    </row>
    <row r="96" spans="1:7" x14ac:dyDescent="0.3">
      <c r="A96" s="85">
        <v>3</v>
      </c>
      <c r="B96" s="85">
        <v>7</v>
      </c>
      <c r="C96" s="85">
        <v>41</v>
      </c>
      <c r="D96" s="85">
        <v>30741</v>
      </c>
      <c r="E96" s="317">
        <v>18.518518518518519</v>
      </c>
      <c r="F96" s="85">
        <v>30741</v>
      </c>
      <c r="G96" s="322">
        <v>17.857142857142858</v>
      </c>
    </row>
    <row r="97" spans="1:7" x14ac:dyDescent="0.3">
      <c r="A97" s="85">
        <v>3</v>
      </c>
      <c r="B97" s="85">
        <v>7</v>
      </c>
      <c r="C97" s="85">
        <v>50</v>
      </c>
      <c r="D97" s="85">
        <v>30750</v>
      </c>
      <c r="E97" s="317">
        <v>17.857142857142858</v>
      </c>
      <c r="F97" s="85">
        <v>30750</v>
      </c>
      <c r="G97" s="322">
        <v>16.666666666666668</v>
      </c>
    </row>
    <row r="98" spans="1:7" x14ac:dyDescent="0.3">
      <c r="A98" s="85">
        <v>3</v>
      </c>
      <c r="B98" s="85">
        <v>8</v>
      </c>
      <c r="C98" s="85">
        <v>0</v>
      </c>
      <c r="D98" s="85">
        <v>30800</v>
      </c>
      <c r="E98" s="317">
        <v>19.23076923076923</v>
      </c>
      <c r="F98" s="85">
        <v>30800</v>
      </c>
      <c r="G98" s="322">
        <v>17.857142857142858</v>
      </c>
    </row>
    <row r="99" spans="1:7" x14ac:dyDescent="0.3">
      <c r="A99" s="85">
        <v>3</v>
      </c>
      <c r="B99" s="85">
        <v>8</v>
      </c>
      <c r="C99" s="85">
        <v>41</v>
      </c>
      <c r="D99" s="85">
        <v>30841</v>
      </c>
      <c r="E99" s="317">
        <v>17.857142857142858</v>
      </c>
      <c r="F99" s="85">
        <v>30841</v>
      </c>
      <c r="G99" s="322">
        <v>17.241379310344826</v>
      </c>
    </row>
    <row r="100" spans="1:7" x14ac:dyDescent="0.3">
      <c r="A100" s="85">
        <v>3</v>
      </c>
      <c r="B100" s="85">
        <v>8</v>
      </c>
      <c r="C100" s="85">
        <v>50</v>
      </c>
      <c r="D100" s="85">
        <v>30850</v>
      </c>
      <c r="E100" s="317">
        <v>16.666666666666668</v>
      </c>
      <c r="F100" s="85">
        <v>30850</v>
      </c>
      <c r="G100" s="322">
        <v>16.129032258064516</v>
      </c>
    </row>
    <row r="101" spans="1:7" x14ac:dyDescent="0.3">
      <c r="A101" s="85">
        <v>4</v>
      </c>
      <c r="B101" s="85">
        <v>5</v>
      </c>
      <c r="C101" s="85">
        <v>0</v>
      </c>
      <c r="D101" s="85">
        <v>40500</v>
      </c>
      <c r="E101" s="317">
        <v>16.666666666666668</v>
      </c>
      <c r="F101" s="85">
        <v>40500</v>
      </c>
      <c r="G101" s="322">
        <v>16.129032258064516</v>
      </c>
    </row>
    <row r="102" spans="1:7" x14ac:dyDescent="0.3">
      <c r="A102" s="85">
        <v>4</v>
      </c>
      <c r="B102" s="85">
        <v>5</v>
      </c>
      <c r="C102" s="85">
        <v>41</v>
      </c>
      <c r="D102" s="85">
        <v>40541</v>
      </c>
      <c r="E102" s="317">
        <v>15.15151515151515</v>
      </c>
      <c r="F102" s="85">
        <v>40541</v>
      </c>
      <c r="G102" s="322">
        <v>14.705882352941176</v>
      </c>
    </row>
    <row r="103" spans="1:7" x14ac:dyDescent="0.3">
      <c r="A103" s="85">
        <v>4</v>
      </c>
      <c r="B103" s="85">
        <v>5</v>
      </c>
      <c r="C103" s="85">
        <v>50</v>
      </c>
      <c r="D103" s="85">
        <v>40550</v>
      </c>
      <c r="E103" s="317">
        <v>14.705882352941176</v>
      </c>
      <c r="F103" s="85">
        <v>40550</v>
      </c>
      <c r="G103" s="322">
        <v>13.888888888888888</v>
      </c>
    </row>
    <row r="104" spans="1:7" x14ac:dyDescent="0.3">
      <c r="A104" s="85">
        <v>4</v>
      </c>
      <c r="B104" s="85">
        <v>6</v>
      </c>
      <c r="C104" s="85">
        <v>0</v>
      </c>
      <c r="D104" s="85">
        <v>40600</v>
      </c>
      <c r="E104" s="317">
        <v>16.129032258064516</v>
      </c>
      <c r="F104" s="85">
        <v>40600</v>
      </c>
      <c r="G104" s="322">
        <v>15.625</v>
      </c>
    </row>
    <row r="105" spans="1:7" x14ac:dyDescent="0.3">
      <c r="A105" s="85">
        <v>4</v>
      </c>
      <c r="B105" s="85">
        <v>6</v>
      </c>
      <c r="C105" s="85">
        <v>41</v>
      </c>
      <c r="D105" s="85">
        <v>40641</v>
      </c>
      <c r="E105" s="317">
        <v>15.15151515151515</v>
      </c>
      <c r="F105" s="85">
        <v>40641</v>
      </c>
      <c r="G105" s="322">
        <v>14.285714285714285</v>
      </c>
    </row>
    <row r="106" spans="1:7" x14ac:dyDescent="0.3">
      <c r="A106" s="85">
        <v>4</v>
      </c>
      <c r="B106" s="85">
        <v>6</v>
      </c>
      <c r="C106" s="85">
        <v>50</v>
      </c>
      <c r="D106" s="85">
        <v>40650</v>
      </c>
      <c r="E106" s="317">
        <v>14.285714285714285</v>
      </c>
      <c r="F106" s="85">
        <v>40650</v>
      </c>
      <c r="G106" s="322">
        <v>13.888888888888888</v>
      </c>
    </row>
    <row r="107" spans="1:7" x14ac:dyDescent="0.3">
      <c r="A107" s="85">
        <v>4</v>
      </c>
      <c r="B107" s="85">
        <v>7</v>
      </c>
      <c r="C107" s="85">
        <v>0</v>
      </c>
      <c r="D107" s="85">
        <v>40700</v>
      </c>
      <c r="E107" s="317">
        <v>16.129032258064516</v>
      </c>
      <c r="F107" s="85">
        <v>40700</v>
      </c>
      <c r="G107" s="322">
        <v>15.15151515151515</v>
      </c>
    </row>
    <row r="108" spans="1:7" x14ac:dyDescent="0.3">
      <c r="A108" s="85">
        <v>4</v>
      </c>
      <c r="B108" s="85">
        <v>7</v>
      </c>
      <c r="C108" s="85">
        <v>41</v>
      </c>
      <c r="D108" s="85">
        <v>40741</v>
      </c>
      <c r="E108" s="317">
        <v>14.705882352941176</v>
      </c>
      <c r="F108" s="85">
        <v>40741</v>
      </c>
      <c r="G108" s="322">
        <v>13.888888888888888</v>
      </c>
    </row>
    <row r="109" spans="1:7" x14ac:dyDescent="0.3">
      <c r="A109" s="85">
        <v>4</v>
      </c>
      <c r="B109" s="85">
        <v>7</v>
      </c>
      <c r="C109" s="85">
        <v>50</v>
      </c>
      <c r="D109" s="85">
        <v>40750</v>
      </c>
      <c r="E109" s="317">
        <v>13.888888888888888</v>
      </c>
      <c r="F109" s="85">
        <v>40750</v>
      </c>
      <c r="G109" s="322">
        <v>13.513513513513514</v>
      </c>
    </row>
    <row r="110" spans="1:7" x14ac:dyDescent="0.3">
      <c r="A110" s="85">
        <v>4</v>
      </c>
      <c r="B110" s="85">
        <v>8</v>
      </c>
      <c r="C110" s="85">
        <v>0</v>
      </c>
      <c r="D110" s="85">
        <v>40800</v>
      </c>
      <c r="E110" s="317">
        <v>15.625</v>
      </c>
      <c r="F110" s="85">
        <v>40800</v>
      </c>
      <c r="G110" s="322">
        <v>14.705882352941176</v>
      </c>
    </row>
    <row r="111" spans="1:7" x14ac:dyDescent="0.3">
      <c r="A111" s="85">
        <v>4</v>
      </c>
      <c r="B111" s="85">
        <v>8</v>
      </c>
      <c r="C111" s="85">
        <v>41</v>
      </c>
      <c r="D111" s="85">
        <v>40841</v>
      </c>
      <c r="E111" s="317">
        <v>14.285714285714285</v>
      </c>
      <c r="F111" s="85">
        <v>40841</v>
      </c>
      <c r="G111" s="322">
        <v>13.888888888888888</v>
      </c>
    </row>
    <row r="112" spans="1:7" x14ac:dyDescent="0.3">
      <c r="A112" s="282">
        <v>4</v>
      </c>
      <c r="B112" s="282">
        <v>8</v>
      </c>
      <c r="C112" s="282">
        <v>50</v>
      </c>
      <c r="D112" s="282">
        <v>40850</v>
      </c>
      <c r="E112" s="324">
        <v>13.888888888888888</v>
      </c>
      <c r="F112" s="282">
        <v>40850</v>
      </c>
      <c r="G112" s="323">
        <v>14.705882352941176</v>
      </c>
    </row>
    <row r="114" spans="1:5" x14ac:dyDescent="0.3">
      <c r="A114" s="505" t="s">
        <v>166</v>
      </c>
      <c r="B114" s="509"/>
      <c r="C114" s="509"/>
      <c r="D114" s="509"/>
      <c r="E114" s="506"/>
    </row>
    <row r="115" spans="1:5" ht="15" thickBot="1" x14ac:dyDescent="0.35">
      <c r="A115" s="507" t="s">
        <v>173</v>
      </c>
      <c r="B115" s="510"/>
      <c r="C115" s="510"/>
      <c r="D115" s="510"/>
      <c r="E115" s="508"/>
    </row>
    <row r="116" spans="1:5" ht="14.4" customHeight="1" x14ac:dyDescent="0.3">
      <c r="A116" s="522" t="s">
        <v>167</v>
      </c>
      <c r="B116" s="539" t="s">
        <v>161</v>
      </c>
      <c r="C116" s="539" t="s">
        <v>168</v>
      </c>
      <c r="D116" s="535" t="s">
        <v>169</v>
      </c>
      <c r="E116" s="537" t="s">
        <v>170</v>
      </c>
    </row>
    <row r="117" spans="1:5" ht="14.4" customHeight="1" x14ac:dyDescent="0.3">
      <c r="A117" s="501"/>
      <c r="B117" s="540"/>
      <c r="C117" s="540"/>
      <c r="D117" s="515"/>
      <c r="E117" s="513"/>
    </row>
    <row r="118" spans="1:5" x14ac:dyDescent="0.3">
      <c r="A118" s="542"/>
      <c r="B118" s="541"/>
      <c r="C118" s="541"/>
      <c r="D118" s="536"/>
      <c r="E118" s="538"/>
    </row>
    <row r="119" spans="1:5" x14ac:dyDescent="0.3">
      <c r="A119" s="85">
        <v>10</v>
      </c>
      <c r="B119" s="325">
        <f>3600*0.8/(A119+3)/3</f>
        <v>73.846153846153854</v>
      </c>
      <c r="C119" s="326">
        <f>B119*1.2</f>
        <v>88.615384615384627</v>
      </c>
      <c r="D119" s="326">
        <f>B119*1.2</f>
        <v>88.615384615384627</v>
      </c>
      <c r="E119" s="327">
        <f>B119*1.5</f>
        <v>110.76923076923077</v>
      </c>
    </row>
    <row r="120" spans="1:5" x14ac:dyDescent="0.3">
      <c r="A120" s="85">
        <v>12</v>
      </c>
      <c r="B120" s="325">
        <f t="shared" ref="B120:B139" si="1">3600*0.8/(A120+3)/3</f>
        <v>64</v>
      </c>
      <c r="C120" s="326">
        <f t="shared" ref="C120:C129" si="2">B120*1.2</f>
        <v>76.8</v>
      </c>
      <c r="D120" s="326">
        <f t="shared" ref="D120:D129" si="3">B120*1.2</f>
        <v>76.8</v>
      </c>
      <c r="E120" s="327">
        <f t="shared" ref="E120:E129" si="4">B120*1.5</f>
        <v>96</v>
      </c>
    </row>
    <row r="121" spans="1:5" x14ac:dyDescent="0.3">
      <c r="A121" s="85">
        <v>14</v>
      </c>
      <c r="B121" s="325">
        <f t="shared" si="1"/>
        <v>56.470588235294116</v>
      </c>
      <c r="C121" s="326">
        <f t="shared" si="2"/>
        <v>67.764705882352942</v>
      </c>
      <c r="D121" s="326">
        <f t="shared" si="3"/>
        <v>67.764705882352942</v>
      </c>
      <c r="E121" s="327">
        <f t="shared" si="4"/>
        <v>84.705882352941174</v>
      </c>
    </row>
    <row r="122" spans="1:5" x14ac:dyDescent="0.3">
      <c r="A122" s="85">
        <v>16</v>
      </c>
      <c r="B122" s="325">
        <f t="shared" si="1"/>
        <v>50.526315789473678</v>
      </c>
      <c r="C122" s="326">
        <f t="shared" si="2"/>
        <v>60.631578947368411</v>
      </c>
      <c r="D122" s="326">
        <f t="shared" si="3"/>
        <v>60.631578947368411</v>
      </c>
      <c r="E122" s="327">
        <f t="shared" si="4"/>
        <v>75.78947368421052</v>
      </c>
    </row>
    <row r="123" spans="1:5" x14ac:dyDescent="0.3">
      <c r="A123" s="85">
        <v>18</v>
      </c>
      <c r="B123" s="325">
        <f t="shared" si="1"/>
        <v>45.714285714285715</v>
      </c>
      <c r="C123" s="326">
        <f t="shared" si="2"/>
        <v>54.857142857142854</v>
      </c>
      <c r="D123" s="326">
        <f t="shared" si="3"/>
        <v>54.857142857142854</v>
      </c>
      <c r="E123" s="327">
        <f t="shared" si="4"/>
        <v>68.571428571428569</v>
      </c>
    </row>
    <row r="124" spans="1:5" x14ac:dyDescent="0.3">
      <c r="A124" s="85">
        <v>20</v>
      </c>
      <c r="B124" s="325">
        <f t="shared" si="1"/>
        <v>41.739130434782609</v>
      </c>
      <c r="C124" s="326">
        <f t="shared" si="2"/>
        <v>50.086956521739133</v>
      </c>
      <c r="D124" s="326">
        <f t="shared" si="3"/>
        <v>50.086956521739133</v>
      </c>
      <c r="E124" s="327">
        <f t="shared" si="4"/>
        <v>62.608695652173914</v>
      </c>
    </row>
    <row r="125" spans="1:5" x14ac:dyDescent="0.3">
      <c r="A125" s="85">
        <v>22</v>
      </c>
      <c r="B125" s="326">
        <f t="shared" si="1"/>
        <v>38.4</v>
      </c>
      <c r="C125" s="326">
        <f t="shared" si="2"/>
        <v>46.08</v>
      </c>
      <c r="D125" s="326">
        <f t="shared" si="3"/>
        <v>46.08</v>
      </c>
      <c r="E125" s="327">
        <f t="shared" si="4"/>
        <v>57.599999999999994</v>
      </c>
    </row>
    <row r="126" spans="1:5" x14ac:dyDescent="0.3">
      <c r="A126" s="85">
        <v>24</v>
      </c>
      <c r="B126" s="326">
        <f t="shared" si="1"/>
        <v>35.555555555555557</v>
      </c>
      <c r="C126" s="326">
        <f t="shared" si="2"/>
        <v>42.666666666666664</v>
      </c>
      <c r="D126" s="326">
        <f t="shared" si="3"/>
        <v>42.666666666666664</v>
      </c>
      <c r="E126" s="327">
        <f t="shared" si="4"/>
        <v>53.333333333333336</v>
      </c>
    </row>
    <row r="127" spans="1:5" x14ac:dyDescent="0.3">
      <c r="A127" s="85">
        <v>26</v>
      </c>
      <c r="B127" s="326">
        <f t="shared" si="1"/>
        <v>33.103448275862071</v>
      </c>
      <c r="C127" s="326">
        <f t="shared" si="2"/>
        <v>39.724137931034484</v>
      </c>
      <c r="D127" s="326">
        <f t="shared" si="3"/>
        <v>39.724137931034484</v>
      </c>
      <c r="E127" s="327">
        <f t="shared" si="4"/>
        <v>49.65517241379311</v>
      </c>
    </row>
    <row r="128" spans="1:5" x14ac:dyDescent="0.3">
      <c r="A128" s="85">
        <v>28</v>
      </c>
      <c r="B128" s="326">
        <f t="shared" si="1"/>
        <v>30.967741935483872</v>
      </c>
      <c r="C128" s="326">
        <f t="shared" si="2"/>
        <v>37.161290322580648</v>
      </c>
      <c r="D128" s="326">
        <f t="shared" si="3"/>
        <v>37.161290322580648</v>
      </c>
      <c r="E128" s="327">
        <f t="shared" si="4"/>
        <v>46.451612903225808</v>
      </c>
    </row>
    <row r="129" spans="1:5" x14ac:dyDescent="0.3">
      <c r="A129" s="85">
        <v>30</v>
      </c>
      <c r="B129" s="328">
        <f t="shared" si="1"/>
        <v>29.09090909090909</v>
      </c>
      <c r="C129" s="328">
        <f t="shared" si="2"/>
        <v>34.909090909090907</v>
      </c>
      <c r="D129" s="328">
        <f t="shared" si="3"/>
        <v>34.909090909090907</v>
      </c>
      <c r="E129" s="329">
        <f t="shared" si="4"/>
        <v>43.636363636363633</v>
      </c>
    </row>
    <row r="130" spans="1:5" x14ac:dyDescent="0.3">
      <c r="A130" s="85">
        <v>32</v>
      </c>
      <c r="B130" s="328">
        <f t="shared" si="1"/>
        <v>27.428571428571431</v>
      </c>
      <c r="C130" s="328">
        <f t="shared" ref="C130" si="5">B130*1.2</f>
        <v>32.914285714285718</v>
      </c>
      <c r="D130" s="328">
        <f t="shared" ref="D130:D138" si="6">B130*1.2</f>
        <v>32.914285714285718</v>
      </c>
      <c r="E130" s="329">
        <f t="shared" ref="E130:E138" si="7">B130*1.5</f>
        <v>41.142857142857146</v>
      </c>
    </row>
    <row r="131" spans="1:5" x14ac:dyDescent="0.3">
      <c r="A131" s="85">
        <v>34</v>
      </c>
      <c r="B131" s="328">
        <f t="shared" si="1"/>
        <v>25.945945945945947</v>
      </c>
      <c r="C131" s="328">
        <f t="shared" ref="C131" si="8">B131*1.2</f>
        <v>31.135135135135137</v>
      </c>
      <c r="D131" s="328">
        <f t="shared" si="6"/>
        <v>31.135135135135137</v>
      </c>
      <c r="E131" s="329">
        <f t="shared" si="7"/>
        <v>38.918918918918919</v>
      </c>
    </row>
    <row r="132" spans="1:5" x14ac:dyDescent="0.3">
      <c r="A132" s="85">
        <v>36</v>
      </c>
      <c r="B132" s="328">
        <f t="shared" si="1"/>
        <v>24.615384615384613</v>
      </c>
      <c r="C132" s="328">
        <f t="shared" ref="C132" si="9">B132*1.2</f>
        <v>29.538461538461533</v>
      </c>
      <c r="D132" s="328">
        <f t="shared" si="6"/>
        <v>29.538461538461533</v>
      </c>
      <c r="E132" s="329">
        <f t="shared" si="7"/>
        <v>36.92307692307692</v>
      </c>
    </row>
    <row r="133" spans="1:5" x14ac:dyDescent="0.3">
      <c r="A133" s="85">
        <v>38</v>
      </c>
      <c r="B133" s="328">
        <f t="shared" si="1"/>
        <v>23.414634146341466</v>
      </c>
      <c r="C133" s="328">
        <f t="shared" ref="C133" si="10">B133*1.2</f>
        <v>28.09756097560976</v>
      </c>
      <c r="D133" s="328">
        <f t="shared" si="6"/>
        <v>28.09756097560976</v>
      </c>
      <c r="E133" s="329">
        <f t="shared" si="7"/>
        <v>35.121951219512198</v>
      </c>
    </row>
    <row r="134" spans="1:5" x14ac:dyDescent="0.3">
      <c r="A134" s="85">
        <v>40</v>
      </c>
      <c r="B134" s="328">
        <f t="shared" si="1"/>
        <v>22.325581395348838</v>
      </c>
      <c r="C134" s="328">
        <f t="shared" ref="C134" si="11">B134*1.2</f>
        <v>26.790697674418606</v>
      </c>
      <c r="D134" s="328">
        <f t="shared" si="6"/>
        <v>26.790697674418606</v>
      </c>
      <c r="E134" s="329">
        <f t="shared" si="7"/>
        <v>33.488372093023258</v>
      </c>
    </row>
    <row r="135" spans="1:5" x14ac:dyDescent="0.3">
      <c r="A135" s="85">
        <v>42</v>
      </c>
      <c r="B135" s="328">
        <f t="shared" si="1"/>
        <v>21.333333333333332</v>
      </c>
      <c r="C135" s="328">
        <f t="shared" ref="C135" si="12">B135*1.2</f>
        <v>25.599999999999998</v>
      </c>
      <c r="D135" s="328">
        <f t="shared" si="6"/>
        <v>25.599999999999998</v>
      </c>
      <c r="E135" s="329">
        <f t="shared" si="7"/>
        <v>32</v>
      </c>
    </row>
    <row r="136" spans="1:5" x14ac:dyDescent="0.3">
      <c r="A136" s="85">
        <v>44</v>
      </c>
      <c r="B136" s="328">
        <f t="shared" si="1"/>
        <v>20.425531914893618</v>
      </c>
      <c r="C136" s="328">
        <f t="shared" ref="C136" si="13">B136*1.2</f>
        <v>24.51063829787234</v>
      </c>
      <c r="D136" s="328">
        <f t="shared" si="6"/>
        <v>24.51063829787234</v>
      </c>
      <c r="E136" s="329">
        <f t="shared" si="7"/>
        <v>30.638297872340427</v>
      </c>
    </row>
    <row r="137" spans="1:5" x14ac:dyDescent="0.3">
      <c r="A137" s="85">
        <v>46</v>
      </c>
      <c r="B137" s="328">
        <f t="shared" si="1"/>
        <v>19.591836734693878</v>
      </c>
      <c r="C137" s="328">
        <f t="shared" ref="C137" si="14">B137*1.2</f>
        <v>23.510204081632654</v>
      </c>
      <c r="D137" s="328">
        <f t="shared" si="6"/>
        <v>23.510204081632654</v>
      </c>
      <c r="E137" s="329">
        <f t="shared" si="7"/>
        <v>29.387755102040817</v>
      </c>
    </row>
    <row r="138" spans="1:5" x14ac:dyDescent="0.3">
      <c r="A138" s="85">
        <v>48</v>
      </c>
      <c r="B138" s="328">
        <f t="shared" si="1"/>
        <v>18.823529411764707</v>
      </c>
      <c r="C138" s="328">
        <f t="shared" ref="C138:C139" si="15">B138*1.2</f>
        <v>22.588235294117649</v>
      </c>
      <c r="D138" s="328">
        <f t="shared" si="6"/>
        <v>22.588235294117649</v>
      </c>
      <c r="E138" s="329">
        <f t="shared" si="7"/>
        <v>28.235294117647058</v>
      </c>
    </row>
    <row r="139" spans="1:5" x14ac:dyDescent="0.3">
      <c r="A139" s="282">
        <v>50</v>
      </c>
      <c r="B139" s="328">
        <f t="shared" si="1"/>
        <v>18.113207547169811</v>
      </c>
      <c r="C139" s="328">
        <f t="shared" si="15"/>
        <v>21.735849056603772</v>
      </c>
      <c r="D139" s="328">
        <f t="shared" ref="D139" si="16">B139*1.2</f>
        <v>21.735849056603772</v>
      </c>
      <c r="E139" s="329">
        <f t="shared" ref="E139" si="17">B139*1.5</f>
        <v>27.169811320754718</v>
      </c>
    </row>
    <row r="140" spans="1:5" x14ac:dyDescent="0.3">
      <c r="A140" s="12"/>
    </row>
    <row r="142" spans="1:5" ht="14.4" customHeight="1" x14ac:dyDescent="0.3">
      <c r="A142" s="526" t="s">
        <v>171</v>
      </c>
      <c r="B142" s="529" t="s">
        <v>174</v>
      </c>
      <c r="C142" s="532" t="s">
        <v>187</v>
      </c>
      <c r="D142" s="526"/>
    </row>
    <row r="143" spans="1:5" x14ac:dyDescent="0.3">
      <c r="A143" s="527"/>
      <c r="B143" s="530"/>
      <c r="C143" s="533"/>
      <c r="D143" s="527"/>
    </row>
    <row r="144" spans="1:5" ht="15" thickBot="1" x14ac:dyDescent="0.35">
      <c r="A144" s="528"/>
      <c r="B144" s="531"/>
      <c r="C144" s="534"/>
      <c r="D144" s="528"/>
    </row>
    <row r="145" spans="1:5" x14ac:dyDescent="0.3">
      <c r="A145" s="85" t="s">
        <v>61</v>
      </c>
      <c r="B145" s="337">
        <v>0</v>
      </c>
      <c r="C145" s="543">
        <v>0.3</v>
      </c>
      <c r="D145" s="544"/>
      <c r="E145" s="12"/>
    </row>
    <row r="146" spans="1:5" x14ac:dyDescent="0.3">
      <c r="A146" s="85" t="s">
        <v>172</v>
      </c>
      <c r="B146" s="328">
        <v>0</v>
      </c>
      <c r="C146" s="545">
        <v>0.2</v>
      </c>
      <c r="D146" s="546"/>
      <c r="E146" s="12"/>
    </row>
    <row r="147" spans="1:5" x14ac:dyDescent="0.3">
      <c r="A147" s="85" t="s">
        <v>66</v>
      </c>
      <c r="B147" s="328">
        <v>0.17599999999999999</v>
      </c>
      <c r="C147" s="545">
        <v>0.1</v>
      </c>
      <c r="D147" s="546"/>
      <c r="E147" s="12"/>
    </row>
    <row r="148" spans="1:5" x14ac:dyDescent="0.3">
      <c r="A148" s="85" t="s">
        <v>147</v>
      </c>
      <c r="B148" s="328">
        <v>0.111</v>
      </c>
      <c r="C148" s="545">
        <v>0.1</v>
      </c>
      <c r="D148" s="546"/>
      <c r="E148" s="12"/>
    </row>
    <row r="149" spans="1:5" x14ac:dyDescent="0.3">
      <c r="A149" s="85" t="s">
        <v>69</v>
      </c>
      <c r="B149" s="328">
        <v>0.33</v>
      </c>
      <c r="C149" s="545">
        <v>0.6</v>
      </c>
      <c r="D149" s="546"/>
      <c r="E149" s="12"/>
    </row>
    <row r="150" spans="1:5" x14ac:dyDescent="0.3">
      <c r="A150" s="85" t="s">
        <v>71</v>
      </c>
      <c r="B150" s="328">
        <v>0</v>
      </c>
      <c r="C150" s="545">
        <v>0.6</v>
      </c>
      <c r="D150" s="546"/>
      <c r="E150" s="12"/>
    </row>
    <row r="151" spans="1:5" x14ac:dyDescent="0.3">
      <c r="A151" s="85" t="s">
        <v>157</v>
      </c>
      <c r="B151" s="328">
        <v>0</v>
      </c>
      <c r="C151" s="545">
        <v>0</v>
      </c>
      <c r="D151" s="546"/>
      <c r="E151" s="12"/>
    </row>
    <row r="152" spans="1:5" x14ac:dyDescent="0.3">
      <c r="A152" s="85" t="s">
        <v>162</v>
      </c>
      <c r="B152" s="328">
        <v>0.111</v>
      </c>
      <c r="C152" s="547">
        <v>0.4</v>
      </c>
      <c r="D152" s="548"/>
      <c r="E152" s="12"/>
    </row>
    <row r="153" spans="1:5" x14ac:dyDescent="0.3">
      <c r="A153" s="549" t="s">
        <v>173</v>
      </c>
      <c r="B153" s="551">
        <v>0.111</v>
      </c>
      <c r="C153" s="338" t="s">
        <v>186</v>
      </c>
      <c r="D153" s="340" t="s">
        <v>185</v>
      </c>
      <c r="E153" s="12"/>
    </row>
    <row r="154" spans="1:5" x14ac:dyDescent="0.3">
      <c r="A154" s="550"/>
      <c r="B154" s="552"/>
      <c r="C154" s="337">
        <v>1.5</v>
      </c>
      <c r="D154" s="339">
        <v>2</v>
      </c>
      <c r="E154" s="12"/>
    </row>
    <row r="155" spans="1:5" x14ac:dyDescent="0.3">
      <c r="A155" s="12"/>
    </row>
  </sheetData>
  <mergeCells count="67">
    <mergeCell ref="C150:D150"/>
    <mergeCell ref="C151:D151"/>
    <mergeCell ref="C152:D152"/>
    <mergeCell ref="A153:A154"/>
    <mergeCell ref="B153:B154"/>
    <mergeCell ref="C145:D145"/>
    <mergeCell ref="C146:D146"/>
    <mergeCell ref="C147:D147"/>
    <mergeCell ref="C148:D148"/>
    <mergeCell ref="C149:D149"/>
    <mergeCell ref="A48:C48"/>
    <mergeCell ref="A49:C49"/>
    <mergeCell ref="A142:A144"/>
    <mergeCell ref="B142:B144"/>
    <mergeCell ref="C142:D144"/>
    <mergeCell ref="A114:E114"/>
    <mergeCell ref="A115:E115"/>
    <mergeCell ref="D116:D118"/>
    <mergeCell ref="E116:E118"/>
    <mergeCell ref="C116:C118"/>
    <mergeCell ref="B116:B118"/>
    <mergeCell ref="A116:A118"/>
    <mergeCell ref="A72:G72"/>
    <mergeCell ref="D75:D76"/>
    <mergeCell ref="E75:E76"/>
    <mergeCell ref="F75:F76"/>
    <mergeCell ref="G75:G76"/>
    <mergeCell ref="A73:G73"/>
    <mergeCell ref="D74:E74"/>
    <mergeCell ref="F74:G74"/>
    <mergeCell ref="A74:A76"/>
    <mergeCell ref="B74:B76"/>
    <mergeCell ref="C74:C76"/>
    <mergeCell ref="A67:B67"/>
    <mergeCell ref="A68:A69"/>
    <mergeCell ref="B68:B69"/>
    <mergeCell ref="C50:C51"/>
    <mergeCell ref="B50:B51"/>
    <mergeCell ref="A66:B66"/>
    <mergeCell ref="A58:D58"/>
    <mergeCell ref="A57:D57"/>
    <mergeCell ref="B59:B60"/>
    <mergeCell ref="C59:C60"/>
    <mergeCell ref="D59:D60"/>
    <mergeCell ref="A59:A61"/>
    <mergeCell ref="A50:A51"/>
    <mergeCell ref="A3:A4"/>
    <mergeCell ref="B3:B4"/>
    <mergeCell ref="C3:C4"/>
    <mergeCell ref="A1:C1"/>
    <mergeCell ref="A2:C2"/>
    <mergeCell ref="A44:A45"/>
    <mergeCell ref="B44:B45"/>
    <mergeCell ref="A42:B42"/>
    <mergeCell ref="A43:B43"/>
    <mergeCell ref="A9:C9"/>
    <mergeCell ref="A10:C10"/>
    <mergeCell ref="A11:A12"/>
    <mergeCell ref="B11:B12"/>
    <mergeCell ref="C11:C12"/>
    <mergeCell ref="A19:E19"/>
    <mergeCell ref="A20:E20"/>
    <mergeCell ref="E21:E22"/>
    <mergeCell ref="D21:D22"/>
    <mergeCell ref="C21:C22"/>
    <mergeCell ref="B21:B22"/>
    <mergeCell ref="A21:A22"/>
  </mergeCells>
  <phoneticPr fontId="8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D327E-6243-47FA-BCD2-C831B2099C48}">
  <sheetPr codeName="Sheet4"/>
  <dimension ref="A1:J9"/>
  <sheetViews>
    <sheetView workbookViewId="0">
      <selection activeCell="G20" sqref="G20"/>
    </sheetView>
  </sheetViews>
  <sheetFormatPr defaultRowHeight="14.4" x14ac:dyDescent="0.3"/>
  <cols>
    <col min="1" max="1" width="11.109375" bestFit="1" customWidth="1"/>
  </cols>
  <sheetData>
    <row r="1" spans="1:10" ht="14.4" customHeight="1" x14ac:dyDescent="0.3">
      <c r="A1" s="393" t="s">
        <v>52</v>
      </c>
      <c r="B1" s="394"/>
      <c r="C1" s="566" t="s">
        <v>53</v>
      </c>
      <c r="D1" s="561" t="s">
        <v>56</v>
      </c>
      <c r="E1" s="562"/>
      <c r="F1" s="563"/>
      <c r="G1" s="553" t="s">
        <v>55</v>
      </c>
      <c r="H1" s="564" t="s">
        <v>54</v>
      </c>
      <c r="I1" s="553" t="s">
        <v>118</v>
      </c>
      <c r="J1" s="555" t="s">
        <v>119</v>
      </c>
    </row>
    <row r="2" spans="1:10" ht="15" thickBot="1" x14ac:dyDescent="0.35">
      <c r="A2" s="395"/>
      <c r="B2" s="396"/>
      <c r="C2" s="567"/>
      <c r="D2" s="23" t="s">
        <v>28</v>
      </c>
      <c r="E2" s="24" t="s">
        <v>29</v>
      </c>
      <c r="F2" s="25" t="s">
        <v>30</v>
      </c>
      <c r="G2" s="554"/>
      <c r="H2" s="565"/>
      <c r="I2" s="554"/>
      <c r="J2" s="556"/>
    </row>
    <row r="3" spans="1:10" x14ac:dyDescent="0.3">
      <c r="A3" s="568" t="s">
        <v>25</v>
      </c>
      <c r="B3" s="569" t="s">
        <v>26</v>
      </c>
      <c r="C3" s="14">
        <f>MAIN!D7</f>
        <v>0</v>
      </c>
      <c r="D3" s="16">
        <f>IF(AND(MAIN!E7&gt;"S",+MAIN!F7&gt;0),+MAIN!F7+0.25,IF(AND(MAIN!E7="HC",MAIN!F7&gt;0),+MAIN!F7+0.18,IF(MAIN!E7="PLY",MAIN!F7,0)))</f>
        <v>0</v>
      </c>
      <c r="E3" s="17">
        <f>IF(AND(MAIN!E7&lt;&gt;"PLY",MAIN!G7&gt;0),TRUNC(MAIN!G7+1),IF(MAIN!E7="PLY",MAIN!G7,0))</f>
        <v>0</v>
      </c>
      <c r="F3" s="18">
        <f>IF(MAIN!H7&gt;24,VLOOKUP(MAIN!H7,'LUMBER LENGTH REF'!$A$3:$B$16,2),MAIN!H7)</f>
        <v>0</v>
      </c>
      <c r="G3" s="32">
        <f>IF(MAIN!E7="PLY",E3*F3/144,+D3*E3*F3/144)</f>
        <v>0</v>
      </c>
      <c r="H3" s="32">
        <f>IF(G3=0,0,IF(MAIN!E7="HC",VLOOKUP(MAIN!F7,'LUMBER COST REF'!$A$51:$B$55,2),IF(MAIN!E7="PLY",0.98,VLOOKUP(MAIN!E7,'LUMBER COST REF'!$A$39:$B$47,2))))</f>
        <v>0</v>
      </c>
      <c r="I3" s="32">
        <f>IF(G3&gt;0,'LUMBER COST REF'!$B$59,0)</f>
        <v>0</v>
      </c>
      <c r="J3" s="147"/>
    </row>
    <row r="4" spans="1:10" x14ac:dyDescent="0.3">
      <c r="A4" s="557"/>
      <c r="B4" s="570"/>
      <c r="C4" s="148">
        <f>MAIN!D8</f>
        <v>0</v>
      </c>
      <c r="D4" s="149">
        <f>IF(AND(MAIN!E8&gt;"S",+MAIN!F8&gt;0),+MAIN!F8+0.25,IF(AND(MAIN!E8="HC",MAIN!F8&gt;0),+MAIN!F8+0.18,IF(MAIN!E8="PLY",MAIN!F8,0)))</f>
        <v>0</v>
      </c>
      <c r="E4" s="150">
        <f>IF(AND(MAIN!E8&lt;&gt;"PLY",MAIN!G8&gt;0),TRUNC(MAIN!G8+1),IF(MAIN!E8="PLY",MAIN!G8,0))</f>
        <v>0</v>
      </c>
      <c r="F4" s="151">
        <f>IF(MAIN!H8&gt;24,VLOOKUP(MAIN!H8,'LUMBER LENGTH REF'!$A$3:$B$16,2),MAIN!H8)</f>
        <v>0</v>
      </c>
      <c r="G4" s="152">
        <f>IF(MAIN!E8="PLY",E4*F4/144,+D4*E4*F4/144)</f>
        <v>0</v>
      </c>
      <c r="H4" s="152">
        <f>IF(G4=0,0,IF(MAIN!E8="HC",VLOOKUP(MAIN!F8,'LUMBER COST REF'!$A$51:$B$55,2),IF(MAIN!E8="PLY",0.98,VLOOKUP(MAIN!E8,'LUMBER COST REF'!$A$39:$B$47,2))))</f>
        <v>0</v>
      </c>
      <c r="I4" s="152">
        <f>IF(G4&gt;0,'LUMBER COST REF'!$B$59,0)</f>
        <v>0</v>
      </c>
      <c r="J4" s="153"/>
    </row>
    <row r="5" spans="1:10" x14ac:dyDescent="0.3">
      <c r="A5" s="557"/>
      <c r="B5" s="570"/>
      <c r="C5" s="154">
        <f>MAIN!D9</f>
        <v>0</v>
      </c>
      <c r="D5" s="155">
        <f>IF(AND(MAIN!E9&gt;"S",+MAIN!F9&gt;0),+MAIN!F9+0.25,IF(AND(MAIN!E9="HC",MAIN!F9&gt;0),+MAIN!F9+0.18,IF(MAIN!E9="PLY",MAIN!F9,0)))</f>
        <v>0</v>
      </c>
      <c r="E5" s="156">
        <f>IF(AND(MAIN!E9&lt;&gt;"PLY",MAIN!G9&gt;0),TRUNC(MAIN!G9+1),IF(MAIN!E9="PLY",MAIN!G9,0))</f>
        <v>0</v>
      </c>
      <c r="F5" s="157">
        <f>IF(MAIN!H9&gt;24,VLOOKUP(MAIN!H9,'LUMBER LENGTH REF'!$A$3:$B$16,2),MAIN!H9)</f>
        <v>0</v>
      </c>
      <c r="G5" s="158">
        <f>IF(MAIN!E9="PLY",E5*F5/144,+D5*E5*F5/144)</f>
        <v>0</v>
      </c>
      <c r="H5" s="158">
        <f>IF(G5=0,0,IF(MAIN!E9="HC",VLOOKUP(MAIN!F9,'LUMBER COST REF'!$A$51:$B$55,2),IF(MAIN!E9="PLY",0.98,VLOOKUP(MAIN!E9,'LUMBER COST REF'!$A$39:$B$47,2))))</f>
        <v>0</v>
      </c>
      <c r="I5" s="158">
        <f>IF(G5&gt;0,'LUMBER COST REF'!$B$59,0)</f>
        <v>0</v>
      </c>
      <c r="J5" s="159"/>
    </row>
    <row r="6" spans="1:10" x14ac:dyDescent="0.3">
      <c r="A6" s="557"/>
      <c r="B6" s="570" t="s">
        <v>27</v>
      </c>
      <c r="C6" s="27">
        <f>MAIN!D10</f>
        <v>0</v>
      </c>
      <c r="D6" s="28">
        <f>IF(AND(MAIN!E10&gt;"S",+MAIN!F10&gt;0),+MAIN!F10+0.25,IF(AND(MAIN!E10="HC",MAIN!F10&gt;0),+MAIN!F10+0.18,IF(MAIN!E10="PLY",MAIN!F10,0)))</f>
        <v>0</v>
      </c>
      <c r="E6" s="29">
        <f>IF(AND(MAIN!E10&lt;&gt;"PLY",MAIN!G10&gt;0),TRUNC(MAIN!G10+1),IF(MAIN!E10="PLY",MAIN!G10,0))</f>
        <v>0</v>
      </c>
      <c r="F6" s="30">
        <f>IF(MAIN!H10&gt;24,VLOOKUP(MAIN!H10,'LUMBER LENGTH REF'!$A$3:$B$16,2),MAIN!H10)</f>
        <v>0</v>
      </c>
      <c r="G6" s="31">
        <f>IF(MAIN!E10="PLY",E6*F6/144,+D6*E6*F6/144)</f>
        <v>0</v>
      </c>
      <c r="H6" s="31">
        <f>IF(G6=0,0,IF(MAIN!E10="HC",VLOOKUP(MAIN!F10,'LUMBER COST REF'!$A$51:$B$55,2),IF(MAIN!E10="PLY",0.98,VLOOKUP(MAIN!E10,'LUMBER COST REF'!$A$39:$B$47,2))))</f>
        <v>0</v>
      </c>
      <c r="I6" s="31">
        <f>IF(G6&gt;0,'LUMBER COST REF'!$B$59,0)</f>
        <v>0</v>
      </c>
      <c r="J6" s="160"/>
    </row>
    <row r="7" spans="1:10" x14ac:dyDescent="0.3">
      <c r="A7" s="559"/>
      <c r="B7" s="571"/>
      <c r="C7" s="154">
        <f>MAIN!D11</f>
        <v>0</v>
      </c>
      <c r="D7" s="155">
        <f>IF(AND(MAIN!E11&gt;"S",+MAIN!F11&gt;0),+MAIN!F11+0.25,IF(AND(MAIN!E11="HC",MAIN!F11&gt;0),+MAIN!F11+0.18,IF(MAIN!E11="PLY",MAIN!F11,0)))</f>
        <v>0</v>
      </c>
      <c r="E7" s="156">
        <f>IF(AND(MAIN!E11&lt;&gt;"PLY",MAIN!G11&gt;0),TRUNC(MAIN!G11+1),IF(MAIN!E11="PLY",MAIN!G11,0))</f>
        <v>0</v>
      </c>
      <c r="F7" s="157">
        <f>IF(MAIN!H11&gt;24,VLOOKUP(MAIN!H11,'LUMBER LENGTH REF'!$A$3:$B$16,2),MAIN!H11)</f>
        <v>0</v>
      </c>
      <c r="G7" s="158">
        <f>IF(MAIN!E11="PLY",E7*F7/144,+D7*E7*F7/144)</f>
        <v>0</v>
      </c>
      <c r="H7" s="158">
        <f>IF(G7=0,0,IF(MAIN!E11="HC",VLOOKUP(MAIN!F11,'LUMBER COST REF'!$A$51:$B$55,2),IF(MAIN!E11="PLY",0.98,VLOOKUP(MAIN!E11,'LUMBER COST REF'!$A$39:$B$47,2))))</f>
        <v>0</v>
      </c>
      <c r="I7" s="158">
        <f>IF(G7&gt;0,'LUMBER COST REF'!$B$59,0)</f>
        <v>0</v>
      </c>
      <c r="J7" s="159"/>
    </row>
    <row r="8" spans="1:10" x14ac:dyDescent="0.3">
      <c r="A8" s="557" t="s">
        <v>31</v>
      </c>
      <c r="B8" s="558"/>
      <c r="C8" s="15">
        <f>MAIN!D12</f>
        <v>0</v>
      </c>
      <c r="D8" s="19">
        <f>IF(AND(MAIN!E12&gt;"S",+MAIN!F12&gt;0),+MAIN!F12+0.5,IF(AND(MAIN!E12="HC",MAIN!F12&gt;0),+MAIN!F12+0.18,IF(MAIN!E12="PLY",MAIN!F12,0)))</f>
        <v>0</v>
      </c>
      <c r="E8" s="20">
        <f>IF(AND(MAIN!E12&lt;&gt;"PLY",MAIN!G12&gt;0),TRUNC(MAIN!G12+1),IF(MAIN!E12="PLY",MAIN!G12,0))</f>
        <v>0</v>
      </c>
      <c r="F8" s="21">
        <f>IF(MAIN!H12&gt;24,VLOOKUP(MAIN!H12,'LUMBER LENGTH REF'!$A$3:$B$16,2),MAIN!H12)</f>
        <v>0</v>
      </c>
      <c r="G8" s="22">
        <f>IF(MAIN!E12="PLY",E8*F8/144,+D8*E8*F8/144)</f>
        <v>0</v>
      </c>
      <c r="H8" s="22">
        <f>IF(G8=0,0,IF(MAIN!E12="HC",VLOOKUP(MAIN!F12,'LUMBER COST REF'!$A$51:$B$55,2),IF(MAIN!E12="PLY",0.98,VLOOKUP(MAIN!E12,'LUMBER COST REF'!$A$39:$B$47,2))))</f>
        <v>0</v>
      </c>
      <c r="I8" s="22">
        <f>IF(G8&gt;0,'LUMBER COST REF'!$B$60,0)</f>
        <v>0</v>
      </c>
      <c r="J8" s="22">
        <f>IF(AND(G8&gt;0,MAIN!I24="X"),'LUMBER COST REF'!$B$64,0)</f>
        <v>0</v>
      </c>
    </row>
    <row r="9" spans="1:10" x14ac:dyDescent="0.3">
      <c r="A9" s="559"/>
      <c r="B9" s="560"/>
      <c r="C9" s="154">
        <f>MAIN!D13</f>
        <v>0</v>
      </c>
      <c r="D9" s="155">
        <f>IF(AND(MAIN!E13&gt;"S",+MAIN!F13&gt;0),+MAIN!F13+0.5,IF(AND(MAIN!E13="HC",MAIN!F13&gt;0),+MAIN!F13+0.18,IF(MAIN!E13="PLY",MAIN!F13,0)))</f>
        <v>0</v>
      </c>
      <c r="E9" s="156">
        <f>IF(AND(MAIN!E13&lt;&gt;"PLY",MAIN!G13&gt;0),TRUNC(MAIN!G13+1),IF(MAIN!E13="PLY",MAIN!G13,0))</f>
        <v>0</v>
      </c>
      <c r="F9" s="157">
        <f>IF(MAIN!H13&gt;24,VLOOKUP(MAIN!H13,'LUMBER LENGTH REF'!$A$3:$B$16,2),MAIN!H13)</f>
        <v>0</v>
      </c>
      <c r="G9" s="158">
        <f>IF(MAIN!E13="PLY",E9*F9/144,+D9*E9*F9/144)</f>
        <v>0</v>
      </c>
      <c r="H9" s="158">
        <f>IF(G9=0,0,IF(MAIN!E13="HC",VLOOKUP(MAIN!F13,'LUMBER COST REF'!$A$51:$B$55,2),IF(MAIN!E13="PLY",0.98,VLOOKUP(MAIN!E13,'LUMBER COST REF'!$A$39:$B$47,2))))</f>
        <v>0</v>
      </c>
      <c r="I9" s="158">
        <f>IF(G9&gt;0,'LUMBER COST REF'!$B$60,0)</f>
        <v>0</v>
      </c>
      <c r="J9" s="158">
        <f>IF(AND(G9&gt;0,MAIN!I25="X"),'LUMBER COST REF'!$B$64,0)</f>
        <v>0</v>
      </c>
    </row>
  </sheetData>
  <sheetProtection sheet="1" objects="1" scenarios="1"/>
  <mergeCells count="11">
    <mergeCell ref="I1:I2"/>
    <mergeCell ref="J1:J2"/>
    <mergeCell ref="A8:B9"/>
    <mergeCell ref="D1:F1"/>
    <mergeCell ref="G1:G2"/>
    <mergeCell ref="H1:H2"/>
    <mergeCell ref="A1:B2"/>
    <mergeCell ref="C1:C2"/>
    <mergeCell ref="A3:A7"/>
    <mergeCell ref="B3:B5"/>
    <mergeCell ref="B6:B7"/>
  </mergeCells>
  <conditionalFormatting sqref="C3:J9">
    <cfRule type="cellIs" dxfId="0" priority="2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4D464-5650-430F-AE21-FEA6150B4947}">
  <sheetPr codeName="Sheet1"/>
  <dimension ref="A1:C64"/>
  <sheetViews>
    <sheetView topLeftCell="A13" workbookViewId="0">
      <selection activeCell="B32" sqref="B32"/>
    </sheetView>
  </sheetViews>
  <sheetFormatPr defaultRowHeight="14.4" x14ac:dyDescent="0.3"/>
  <cols>
    <col min="1" max="1" width="11.33203125" bestFit="1" customWidth="1"/>
    <col min="2" max="2" width="10.88671875" bestFit="1" customWidth="1"/>
    <col min="3" max="3" width="7.33203125" bestFit="1" customWidth="1"/>
    <col min="5" max="5" width="10" bestFit="1" customWidth="1"/>
    <col min="6" max="6" width="10.88671875" bestFit="1" customWidth="1"/>
  </cols>
  <sheetData>
    <row r="1" spans="1:3" x14ac:dyDescent="0.3">
      <c r="A1" s="572" t="s">
        <v>193</v>
      </c>
      <c r="B1" s="572"/>
    </row>
    <row r="2" spans="1:3" x14ac:dyDescent="0.3">
      <c r="A2" t="s">
        <v>2</v>
      </c>
      <c r="B2" t="s">
        <v>135</v>
      </c>
    </row>
    <row r="3" spans="1:3" x14ac:dyDescent="0.3">
      <c r="A3" t="s">
        <v>134</v>
      </c>
      <c r="B3" t="s">
        <v>35</v>
      </c>
    </row>
    <row r="4" spans="1:3" x14ac:dyDescent="0.3">
      <c r="A4" t="s">
        <v>3</v>
      </c>
      <c r="B4" t="s">
        <v>136</v>
      </c>
    </row>
    <row r="5" spans="1:3" x14ac:dyDescent="0.3">
      <c r="A5" t="s">
        <v>4</v>
      </c>
    </row>
    <row r="6" spans="1:3" x14ac:dyDescent="0.3">
      <c r="A6" t="s">
        <v>5</v>
      </c>
    </row>
    <row r="7" spans="1:3" x14ac:dyDescent="0.3">
      <c r="A7" t="s">
        <v>6</v>
      </c>
    </row>
    <row r="8" spans="1:3" x14ac:dyDescent="0.3">
      <c r="A8" t="s">
        <v>7</v>
      </c>
    </row>
    <row r="9" spans="1:3" x14ac:dyDescent="0.3">
      <c r="A9" t="s">
        <v>8</v>
      </c>
    </row>
    <row r="10" spans="1:3" x14ac:dyDescent="0.3">
      <c r="A10" t="s">
        <v>9</v>
      </c>
    </row>
    <row r="11" spans="1:3" x14ac:dyDescent="0.3">
      <c r="A11" t="s">
        <v>10</v>
      </c>
    </row>
    <row r="12" spans="1:3" x14ac:dyDescent="0.3">
      <c r="A12" t="s">
        <v>11</v>
      </c>
    </row>
    <row r="13" spans="1:3" x14ac:dyDescent="0.3">
      <c r="A13" s="238" t="s">
        <v>138</v>
      </c>
      <c r="B13" s="238" t="s">
        <v>138</v>
      </c>
    </row>
    <row r="14" spans="1:3" ht="15" thickBot="1" x14ac:dyDescent="0.35"/>
    <row r="15" spans="1:3" x14ac:dyDescent="0.3">
      <c r="A15" s="573" t="s">
        <v>128</v>
      </c>
      <c r="B15" s="525"/>
      <c r="C15" s="574"/>
    </row>
    <row r="16" spans="1:3" x14ac:dyDescent="0.3">
      <c r="A16" s="575" t="s">
        <v>129</v>
      </c>
      <c r="B16" s="577" t="s">
        <v>131</v>
      </c>
      <c r="C16" s="578"/>
    </row>
    <row r="17" spans="1:3" ht="15" thickBot="1" x14ac:dyDescent="0.35">
      <c r="A17" s="576"/>
      <c r="B17" s="169" t="s">
        <v>0</v>
      </c>
      <c r="C17" s="161" t="s">
        <v>1</v>
      </c>
    </row>
    <row r="18" spans="1:3" ht="15.6" x14ac:dyDescent="0.3">
      <c r="A18" s="170" t="s">
        <v>2</v>
      </c>
      <c r="B18" s="171">
        <v>300</v>
      </c>
      <c r="C18" s="171">
        <v>300</v>
      </c>
    </row>
    <row r="19" spans="1:3" ht="15.6" x14ac:dyDescent="0.3">
      <c r="A19" s="166" t="s">
        <v>3</v>
      </c>
      <c r="B19" s="172">
        <v>410</v>
      </c>
      <c r="C19" s="172">
        <v>480</v>
      </c>
    </row>
    <row r="20" spans="1:3" ht="15.6" x14ac:dyDescent="0.3">
      <c r="A20" s="167" t="s">
        <v>4</v>
      </c>
      <c r="B20" s="173">
        <v>350</v>
      </c>
      <c r="C20" s="173">
        <v>335</v>
      </c>
    </row>
    <row r="21" spans="1:3" ht="15.6" x14ac:dyDescent="0.3">
      <c r="A21" s="166" t="s">
        <v>5</v>
      </c>
      <c r="B21" s="172">
        <v>245</v>
      </c>
      <c r="C21" s="172">
        <v>210</v>
      </c>
    </row>
    <row r="22" spans="1:3" ht="15.6" x14ac:dyDescent="0.3">
      <c r="A22" s="167" t="s">
        <v>6</v>
      </c>
      <c r="B22" s="173">
        <v>470</v>
      </c>
      <c r="C22" s="173">
        <v>335</v>
      </c>
    </row>
    <row r="23" spans="1:3" ht="15.6" x14ac:dyDescent="0.3">
      <c r="A23" s="166" t="s">
        <v>7</v>
      </c>
      <c r="B23" s="172">
        <v>385</v>
      </c>
      <c r="C23" s="172">
        <v>335</v>
      </c>
    </row>
    <row r="24" spans="1:3" ht="15.6" x14ac:dyDescent="0.3">
      <c r="A24" s="167" t="s">
        <v>8</v>
      </c>
      <c r="B24" s="173">
        <v>310</v>
      </c>
      <c r="C24" s="173">
        <v>300</v>
      </c>
    </row>
    <row r="25" spans="1:3" ht="15.6" x14ac:dyDescent="0.3">
      <c r="A25" s="166" t="s">
        <v>9</v>
      </c>
      <c r="B25" s="172">
        <v>470</v>
      </c>
      <c r="C25" s="172">
        <v>335</v>
      </c>
    </row>
    <row r="26" spans="1:3" ht="15.6" x14ac:dyDescent="0.3">
      <c r="A26" s="167" t="s">
        <v>10</v>
      </c>
      <c r="B26" s="173">
        <v>385</v>
      </c>
      <c r="C26" s="173">
        <v>335</v>
      </c>
    </row>
    <row r="27" spans="1:3" ht="15.6" x14ac:dyDescent="0.3">
      <c r="A27" s="166" t="s">
        <v>11</v>
      </c>
      <c r="B27" s="172">
        <v>310</v>
      </c>
      <c r="C27" s="172">
        <v>300</v>
      </c>
    </row>
    <row r="28" spans="1:3" ht="15" thickBot="1" x14ac:dyDescent="0.35"/>
    <row r="29" spans="1:3" x14ac:dyDescent="0.3">
      <c r="A29" s="573" t="s">
        <v>120</v>
      </c>
      <c r="B29" s="574"/>
    </row>
    <row r="30" spans="1:3" ht="15" thickBot="1" x14ac:dyDescent="0.35">
      <c r="A30" s="9" t="s">
        <v>50</v>
      </c>
      <c r="B30" s="161" t="s">
        <v>131</v>
      </c>
    </row>
    <row r="31" spans="1:3" ht="15.6" x14ac:dyDescent="0.3">
      <c r="A31" s="162">
        <v>0.375</v>
      </c>
      <c r="B31" s="171">
        <v>375</v>
      </c>
    </row>
    <row r="32" spans="1:3" ht="15.6" x14ac:dyDescent="0.3">
      <c r="A32" s="163">
        <v>0.5</v>
      </c>
      <c r="B32" s="172">
        <v>225</v>
      </c>
    </row>
    <row r="33" spans="1:2" ht="15.6" x14ac:dyDescent="0.3">
      <c r="A33" s="164">
        <v>0.625</v>
      </c>
      <c r="B33" s="173">
        <v>240</v>
      </c>
    </row>
    <row r="34" spans="1:2" ht="15.6" x14ac:dyDescent="0.3">
      <c r="A34" s="163">
        <v>0.75</v>
      </c>
      <c r="B34" s="172">
        <v>365</v>
      </c>
    </row>
    <row r="35" spans="1:2" ht="15.6" x14ac:dyDescent="0.3">
      <c r="A35" s="164">
        <v>1</v>
      </c>
      <c r="B35" s="173">
        <v>575</v>
      </c>
    </row>
    <row r="36" spans="1:2" ht="15" thickBot="1" x14ac:dyDescent="0.35"/>
    <row r="37" spans="1:2" x14ac:dyDescent="0.3">
      <c r="A37" s="573" t="s">
        <v>121</v>
      </c>
      <c r="B37" s="574"/>
    </row>
    <row r="38" spans="1:2" ht="15" thickBot="1" x14ac:dyDescent="0.35">
      <c r="A38" s="9" t="s">
        <v>48</v>
      </c>
      <c r="B38" s="161" t="s">
        <v>49</v>
      </c>
    </row>
    <row r="39" spans="1:2" ht="15.6" x14ac:dyDescent="0.3">
      <c r="A39" s="165" t="s">
        <v>3</v>
      </c>
      <c r="B39" s="6">
        <v>0.98</v>
      </c>
    </row>
    <row r="40" spans="1:2" ht="15.6" x14ac:dyDescent="0.3">
      <c r="A40" s="166" t="s">
        <v>4</v>
      </c>
      <c r="B40" s="3">
        <v>0.96</v>
      </c>
    </row>
    <row r="41" spans="1:2" ht="15.6" x14ac:dyDescent="0.3">
      <c r="A41" s="167" t="s">
        <v>5</v>
      </c>
      <c r="B41" s="4">
        <v>0.94</v>
      </c>
    </row>
    <row r="42" spans="1:2" ht="15.6" x14ac:dyDescent="0.3">
      <c r="A42" s="166" t="s">
        <v>6</v>
      </c>
      <c r="B42" s="3">
        <v>0.98</v>
      </c>
    </row>
    <row r="43" spans="1:2" ht="15.6" x14ac:dyDescent="0.3">
      <c r="A43" s="167" t="s">
        <v>7</v>
      </c>
      <c r="B43" s="4">
        <v>0.94</v>
      </c>
    </row>
    <row r="44" spans="1:2" ht="15.6" x14ac:dyDescent="0.3">
      <c r="A44" s="166" t="s">
        <v>8</v>
      </c>
      <c r="B44" s="3">
        <v>0.92</v>
      </c>
    </row>
    <row r="45" spans="1:2" ht="15.6" x14ac:dyDescent="0.3">
      <c r="A45" s="167" t="s">
        <v>9</v>
      </c>
      <c r="B45" s="4">
        <v>0.99</v>
      </c>
    </row>
    <row r="46" spans="1:2" ht="15.6" x14ac:dyDescent="0.3">
      <c r="A46" s="166" t="s">
        <v>10</v>
      </c>
      <c r="B46" s="3">
        <v>0.97</v>
      </c>
    </row>
    <row r="47" spans="1:2" ht="15.6" x14ac:dyDescent="0.3">
      <c r="A47" s="167" t="s">
        <v>11</v>
      </c>
      <c r="B47" s="4">
        <v>0.92</v>
      </c>
    </row>
    <row r="48" spans="1:2" ht="15" thickBot="1" x14ac:dyDescent="0.35"/>
    <row r="49" spans="1:2" x14ac:dyDescent="0.3">
      <c r="A49" s="573" t="s">
        <v>122</v>
      </c>
      <c r="B49" s="574"/>
    </row>
    <row r="50" spans="1:2" ht="15" thickBot="1" x14ac:dyDescent="0.35">
      <c r="A50" s="9" t="s">
        <v>50</v>
      </c>
      <c r="B50" s="161" t="s">
        <v>49</v>
      </c>
    </row>
    <row r="51" spans="1:2" ht="15.6" x14ac:dyDescent="0.3">
      <c r="A51" s="168">
        <v>0.375</v>
      </c>
      <c r="B51" s="6">
        <v>0.9</v>
      </c>
    </row>
    <row r="52" spans="1:2" ht="15.6" x14ac:dyDescent="0.3">
      <c r="A52" s="163">
        <v>0.625</v>
      </c>
      <c r="B52" s="3">
        <v>0.93</v>
      </c>
    </row>
    <row r="53" spans="1:2" ht="15.6" x14ac:dyDescent="0.3">
      <c r="A53" s="164">
        <v>0.8125</v>
      </c>
      <c r="B53" s="4">
        <v>0.96</v>
      </c>
    </row>
    <row r="54" spans="1:2" ht="15.6" x14ac:dyDescent="0.3">
      <c r="A54" s="163">
        <v>1.25</v>
      </c>
      <c r="B54" s="3">
        <v>0.93</v>
      </c>
    </row>
    <row r="55" spans="1:2" ht="15.6" x14ac:dyDescent="0.3">
      <c r="A55" s="164">
        <v>1.5</v>
      </c>
      <c r="B55" s="4">
        <v>0.96</v>
      </c>
    </row>
    <row r="56" spans="1:2" ht="15" thickBot="1" x14ac:dyDescent="0.35"/>
    <row r="57" spans="1:2" x14ac:dyDescent="0.3">
      <c r="A57" s="573" t="s">
        <v>123</v>
      </c>
      <c r="B57" s="574"/>
    </row>
    <row r="58" spans="1:2" ht="15" thickBot="1" x14ac:dyDescent="0.35">
      <c r="A58" s="9" t="s">
        <v>23</v>
      </c>
      <c r="B58" s="161" t="s">
        <v>124</v>
      </c>
    </row>
    <row r="59" spans="1:2" ht="15.6" x14ac:dyDescent="0.3">
      <c r="A59" s="165" t="s">
        <v>125</v>
      </c>
      <c r="B59" s="6">
        <v>0.01</v>
      </c>
    </row>
    <row r="60" spans="1:2" ht="15.6" x14ac:dyDescent="0.3">
      <c r="A60" s="166" t="s">
        <v>126</v>
      </c>
      <c r="B60" s="3">
        <v>0.03</v>
      </c>
    </row>
    <row r="61" spans="1:2" ht="15" thickBot="1" x14ac:dyDescent="0.35"/>
    <row r="62" spans="1:2" x14ac:dyDescent="0.3">
      <c r="A62" s="573" t="s">
        <v>127</v>
      </c>
      <c r="B62" s="574"/>
    </row>
    <row r="63" spans="1:2" ht="15" thickBot="1" x14ac:dyDescent="0.35">
      <c r="A63" s="9" t="s">
        <v>23</v>
      </c>
      <c r="B63" s="161" t="s">
        <v>124</v>
      </c>
    </row>
    <row r="64" spans="1:2" ht="15.6" x14ac:dyDescent="0.3">
      <c r="A64" s="165" t="s">
        <v>126</v>
      </c>
      <c r="B64" s="6">
        <v>0.03</v>
      </c>
    </row>
  </sheetData>
  <mergeCells count="9">
    <mergeCell ref="A1:B1"/>
    <mergeCell ref="A49:B49"/>
    <mergeCell ref="A57:B57"/>
    <mergeCell ref="A62:B62"/>
    <mergeCell ref="A15:C15"/>
    <mergeCell ref="A16:A17"/>
    <mergeCell ref="B16:C16"/>
    <mergeCell ref="A29:B29"/>
    <mergeCell ref="A37:B3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EE4E9-D0F8-429A-922B-C7C7F2DD5E73}">
  <sheetPr codeName="Sheet3"/>
  <dimension ref="A1:B13"/>
  <sheetViews>
    <sheetView workbookViewId="0">
      <selection activeCell="G27" sqref="G27"/>
    </sheetView>
  </sheetViews>
  <sheetFormatPr defaultRowHeight="14.4" x14ac:dyDescent="0.3"/>
  <cols>
    <col min="2" max="2" width="11.88671875" bestFit="1" customWidth="1"/>
  </cols>
  <sheetData>
    <row r="1" spans="1:2" x14ac:dyDescent="0.3">
      <c r="A1" s="7" t="s">
        <v>12</v>
      </c>
      <c r="B1" s="8"/>
    </row>
    <row r="2" spans="1:2" ht="15" thickBot="1" x14ac:dyDescent="0.35">
      <c r="A2" s="9" t="s">
        <v>23</v>
      </c>
      <c r="B2" s="10" t="s">
        <v>24</v>
      </c>
    </row>
    <row r="3" spans="1:2" ht="15.6" x14ac:dyDescent="0.3">
      <c r="A3" s="5" t="s">
        <v>13</v>
      </c>
      <c r="B3" s="6">
        <v>0.6</v>
      </c>
    </row>
    <row r="4" spans="1:2" ht="15.6" x14ac:dyDescent="0.3">
      <c r="A4" s="1" t="s">
        <v>14</v>
      </c>
      <c r="B4" s="3">
        <v>0.7</v>
      </c>
    </row>
    <row r="5" spans="1:2" ht="15.6" x14ac:dyDescent="0.3">
      <c r="A5" s="2" t="s">
        <v>15</v>
      </c>
      <c r="B5" s="4">
        <v>0.8</v>
      </c>
    </row>
    <row r="6" spans="1:2" ht="15.6" x14ac:dyDescent="0.3">
      <c r="A6" s="1" t="s">
        <v>16</v>
      </c>
      <c r="B6" s="3">
        <v>1</v>
      </c>
    </row>
    <row r="7" spans="1:2" ht="15.6" x14ac:dyDescent="0.3">
      <c r="A7" s="2" t="s">
        <v>17</v>
      </c>
      <c r="B7" s="4">
        <v>1.2949999999999999</v>
      </c>
    </row>
    <row r="8" spans="1:2" ht="15.6" x14ac:dyDescent="0.3">
      <c r="A8" s="1" t="s">
        <v>18</v>
      </c>
      <c r="B8" s="3">
        <v>0.25</v>
      </c>
    </row>
    <row r="9" spans="1:2" ht="15.6" x14ac:dyDescent="0.3">
      <c r="A9" s="2" t="s">
        <v>19</v>
      </c>
      <c r="B9" s="4">
        <v>0.3</v>
      </c>
    </row>
    <row r="10" spans="1:2" ht="15.6" x14ac:dyDescent="0.3">
      <c r="A10" s="1" t="s">
        <v>20</v>
      </c>
      <c r="B10" s="3">
        <v>0.35</v>
      </c>
    </row>
    <row r="11" spans="1:2" ht="15.6" x14ac:dyDescent="0.3">
      <c r="A11" s="2" t="s">
        <v>21</v>
      </c>
      <c r="B11" s="4">
        <v>0.246</v>
      </c>
    </row>
    <row r="12" spans="1:2" ht="15.6" x14ac:dyDescent="0.3">
      <c r="A12" s="1" t="s">
        <v>22</v>
      </c>
      <c r="B12" s="3">
        <v>0.53100000000000003</v>
      </c>
    </row>
    <row r="13" spans="1:2" x14ac:dyDescent="0.3">
      <c r="A13" s="239" t="s">
        <v>137</v>
      </c>
      <c r="B13" s="238" t="s">
        <v>137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B56AE-E13C-4945-A5D0-2CF40E189DEA}">
  <sheetPr codeName="Sheet9"/>
  <dimension ref="A1:P38"/>
  <sheetViews>
    <sheetView workbookViewId="0">
      <selection activeCell="E25" sqref="E25"/>
    </sheetView>
  </sheetViews>
  <sheetFormatPr defaultRowHeight="14.4" x14ac:dyDescent="0.3"/>
  <cols>
    <col min="1" max="1" width="19.5546875" bestFit="1" customWidth="1"/>
    <col min="2" max="2" width="11" bestFit="1" customWidth="1"/>
  </cols>
  <sheetData>
    <row r="1" spans="1:16" ht="14.4" customHeight="1" x14ac:dyDescent="0.3">
      <c r="A1" s="573" t="s">
        <v>100</v>
      </c>
      <c r="B1" s="5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</row>
    <row r="2" spans="1:16" ht="30" customHeight="1" thickBot="1" x14ac:dyDescent="0.35">
      <c r="A2" s="76" t="s">
        <v>23</v>
      </c>
      <c r="B2" s="75" t="s">
        <v>101</v>
      </c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</row>
    <row r="3" spans="1:16" ht="15.6" x14ac:dyDescent="0.3">
      <c r="A3" s="5" t="s">
        <v>82</v>
      </c>
      <c r="B3" s="77">
        <v>0.75</v>
      </c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</row>
    <row r="4" spans="1:16" ht="15.6" x14ac:dyDescent="0.3">
      <c r="A4" s="1" t="s">
        <v>83</v>
      </c>
      <c r="B4" s="78">
        <v>0.25</v>
      </c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</row>
    <row r="5" spans="1:16" ht="15.6" x14ac:dyDescent="0.3">
      <c r="A5" s="2" t="s">
        <v>37</v>
      </c>
      <c r="B5" s="79">
        <v>0.12</v>
      </c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</row>
    <row r="6" spans="1:16" ht="15.6" x14ac:dyDescent="0.3">
      <c r="A6" s="1" t="s">
        <v>84</v>
      </c>
      <c r="B6" s="78">
        <v>0.05</v>
      </c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</row>
    <row r="7" spans="1:16" x14ac:dyDescent="0.3">
      <c r="A7" s="74"/>
      <c r="B7" s="74"/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</row>
    <row r="8" spans="1:16" x14ac:dyDescent="0.3">
      <c r="A8" s="74"/>
      <c r="B8" s="74"/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</row>
    <row r="9" spans="1:16" x14ac:dyDescent="0.3">
      <c r="A9" s="74"/>
      <c r="B9" s="74"/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74"/>
      <c r="P9" s="74"/>
    </row>
    <row r="10" spans="1:16" x14ac:dyDescent="0.3">
      <c r="A10" s="74"/>
      <c r="B10" s="74"/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</row>
    <row r="11" spans="1:16" x14ac:dyDescent="0.3">
      <c r="A11" s="74"/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</row>
    <row r="12" spans="1:16" x14ac:dyDescent="0.3">
      <c r="A12" s="74"/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</row>
    <row r="13" spans="1:16" x14ac:dyDescent="0.3">
      <c r="A13" s="74"/>
      <c r="B13" s="74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</row>
    <row r="14" spans="1:16" x14ac:dyDescent="0.3">
      <c r="A14" s="74"/>
      <c r="B14" s="7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</row>
    <row r="15" spans="1:16" x14ac:dyDescent="0.3">
      <c r="A15" s="74"/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</row>
    <row r="16" spans="1:16" x14ac:dyDescent="0.3">
      <c r="A16" s="74"/>
      <c r="B16" s="7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</row>
    <row r="17" spans="1:16" x14ac:dyDescent="0.3">
      <c r="A17" s="74"/>
      <c r="B17" s="74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</row>
    <row r="18" spans="1:16" x14ac:dyDescent="0.3">
      <c r="A18" s="74"/>
      <c r="B18" s="7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</row>
    <row r="19" spans="1:16" x14ac:dyDescent="0.3">
      <c r="A19" s="74"/>
      <c r="B19" s="7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</row>
    <row r="20" spans="1:16" x14ac:dyDescent="0.3">
      <c r="A20" s="74"/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</row>
    <row r="21" spans="1:16" ht="15.6" customHeight="1" x14ac:dyDescent="0.3"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</row>
    <row r="22" spans="1:16" ht="15.6" customHeight="1" x14ac:dyDescent="0.3"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</row>
    <row r="23" spans="1:16" ht="15.6" customHeight="1" x14ac:dyDescent="0.3"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</row>
    <row r="24" spans="1:16" ht="15.6" customHeight="1" x14ac:dyDescent="0.3"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</row>
    <row r="25" spans="1:16" ht="15.6" customHeight="1" x14ac:dyDescent="0.3"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</row>
    <row r="26" spans="1:16" ht="15.6" customHeight="1" x14ac:dyDescent="0.3"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4"/>
    </row>
    <row r="27" spans="1:16" ht="15.6" customHeight="1" x14ac:dyDescent="0.3"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</row>
    <row r="28" spans="1:16" ht="15.6" customHeight="1" x14ac:dyDescent="0.3"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</row>
    <row r="29" spans="1:16" ht="15.6" customHeight="1" x14ac:dyDescent="0.3"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</row>
    <row r="30" spans="1:16" ht="15.6" customHeight="1" x14ac:dyDescent="0.3"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</row>
    <row r="31" spans="1:16" ht="15.6" customHeight="1" x14ac:dyDescent="0.3"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</row>
    <row r="32" spans="1:16" ht="15.6" customHeight="1" x14ac:dyDescent="0.3"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</row>
    <row r="33" spans="4:16" ht="15.6" customHeight="1" x14ac:dyDescent="0.3"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</row>
    <row r="34" spans="4:16" ht="15.6" customHeight="1" x14ac:dyDescent="0.3"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</row>
    <row r="35" spans="4:16" ht="15.6" customHeight="1" x14ac:dyDescent="0.3"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</row>
    <row r="36" spans="4:16" ht="15.6" customHeight="1" x14ac:dyDescent="0.3"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</row>
    <row r="37" spans="4:16" ht="15.6" customHeight="1" x14ac:dyDescent="0.3"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</row>
    <row r="38" spans="4:16" ht="15.6" customHeight="1" x14ac:dyDescent="0.3"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</row>
  </sheetData>
  <mergeCells count="1">
    <mergeCell ref="A1:B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2ECC5-606D-4151-A5A7-2EB2E8995F56}">
  <sheetPr codeName="Sheet8"/>
  <dimension ref="A1:B16"/>
  <sheetViews>
    <sheetView workbookViewId="0">
      <selection activeCell="I15" sqref="I15"/>
    </sheetView>
  </sheetViews>
  <sheetFormatPr defaultRowHeight="14.4" x14ac:dyDescent="0.3"/>
  <cols>
    <col min="1" max="1" width="11.6640625" bestFit="1" customWidth="1"/>
    <col min="2" max="2" width="13.33203125" bestFit="1" customWidth="1"/>
  </cols>
  <sheetData>
    <row r="1" spans="1:2" x14ac:dyDescent="0.3">
      <c r="A1" s="579" t="s">
        <v>78</v>
      </c>
      <c r="B1" s="580"/>
    </row>
    <row r="2" spans="1:2" ht="15" thickBot="1" x14ac:dyDescent="0.35">
      <c r="A2" s="13" t="s">
        <v>79</v>
      </c>
      <c r="B2" s="59" t="s">
        <v>80</v>
      </c>
    </row>
    <row r="3" spans="1:2" ht="15.6" x14ac:dyDescent="0.3">
      <c r="A3" s="53">
        <v>25</v>
      </c>
      <c r="B3" s="56">
        <v>30</v>
      </c>
    </row>
    <row r="4" spans="1:2" ht="15.6" x14ac:dyDescent="0.3">
      <c r="A4" s="54">
        <v>31</v>
      </c>
      <c r="B4" s="57">
        <v>36</v>
      </c>
    </row>
    <row r="5" spans="1:2" ht="15.6" x14ac:dyDescent="0.3">
      <c r="A5" s="55">
        <v>37</v>
      </c>
      <c r="B5" s="58">
        <v>40</v>
      </c>
    </row>
    <row r="6" spans="1:2" ht="15.6" x14ac:dyDescent="0.3">
      <c r="A6" s="54">
        <v>41</v>
      </c>
      <c r="B6" s="57">
        <v>42</v>
      </c>
    </row>
    <row r="7" spans="1:2" ht="15.6" x14ac:dyDescent="0.3">
      <c r="A7" s="55">
        <v>43</v>
      </c>
      <c r="B7" s="58">
        <v>48</v>
      </c>
    </row>
    <row r="8" spans="1:2" ht="15.6" x14ac:dyDescent="0.3">
      <c r="A8" s="54">
        <v>49</v>
      </c>
      <c r="B8" s="57">
        <v>60</v>
      </c>
    </row>
    <row r="9" spans="1:2" ht="15.6" x14ac:dyDescent="0.3">
      <c r="A9" s="55">
        <v>61</v>
      </c>
      <c r="B9" s="58">
        <v>72</v>
      </c>
    </row>
    <row r="10" spans="1:2" ht="15.6" x14ac:dyDescent="0.3">
      <c r="A10" s="54">
        <v>73</v>
      </c>
      <c r="B10" s="57">
        <v>84</v>
      </c>
    </row>
    <row r="11" spans="1:2" ht="15.6" x14ac:dyDescent="0.3">
      <c r="A11" s="55">
        <v>85</v>
      </c>
      <c r="B11" s="58">
        <v>96</v>
      </c>
    </row>
    <row r="12" spans="1:2" ht="15.6" x14ac:dyDescent="0.3">
      <c r="A12" s="54">
        <v>97</v>
      </c>
      <c r="B12" s="57">
        <v>120</v>
      </c>
    </row>
    <row r="13" spans="1:2" ht="15.6" x14ac:dyDescent="0.3">
      <c r="A13" s="55">
        <v>121</v>
      </c>
      <c r="B13" s="58">
        <v>144</v>
      </c>
    </row>
    <row r="14" spans="1:2" ht="15.6" x14ac:dyDescent="0.3">
      <c r="A14" s="54">
        <v>145</v>
      </c>
      <c r="B14" s="57">
        <v>168</v>
      </c>
    </row>
    <row r="15" spans="1:2" ht="15.6" x14ac:dyDescent="0.3">
      <c r="A15" s="55">
        <v>169</v>
      </c>
      <c r="B15" s="58">
        <v>192</v>
      </c>
    </row>
    <row r="16" spans="1:2" ht="15.6" x14ac:dyDescent="0.3">
      <c r="A16" s="54">
        <v>193</v>
      </c>
      <c r="B16" s="57">
        <v>216</v>
      </c>
    </row>
  </sheetData>
  <mergeCells count="1">
    <mergeCell ref="A1:B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D10E39DC18014D8B30639D22FBCBD1" ma:contentTypeVersion="3" ma:contentTypeDescription="Create a new document." ma:contentTypeScope="" ma:versionID="a80ccf3bf262ed0afb78a871da3f0193">
  <xsd:schema xmlns:xsd="http://www.w3.org/2001/XMLSchema" xmlns:xs="http://www.w3.org/2001/XMLSchema" xmlns:p="http://schemas.microsoft.com/office/2006/metadata/properties" xmlns:ns2="7b25e9d8-d3f9-4451-bf8f-b1c4f9fb69cf" targetNamespace="http://schemas.microsoft.com/office/2006/metadata/properties" ma:root="true" ma:fieldsID="a6b1e5782836b7d3e6a00257713e96c1" ns2:_="">
    <xsd:import namespace="7b25e9d8-d3f9-4451-bf8f-b1c4f9fb69c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25e9d8-d3f9-4451-bf8f-b1c4f9fb69c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575880B-78EE-4FC5-801F-FEDE97D1B5E9}"/>
</file>

<file path=customXml/itemProps2.xml><?xml version="1.0" encoding="utf-8"?>
<ds:datastoreItem xmlns:ds="http://schemas.openxmlformats.org/officeDocument/2006/customXml" ds:itemID="{8B9A7EF6-C18A-4446-9C19-9C803689D953}"/>
</file>

<file path=customXml/itemProps3.xml><?xml version="1.0" encoding="utf-8"?>
<ds:datastoreItem xmlns:ds="http://schemas.openxmlformats.org/officeDocument/2006/customXml" ds:itemID="{8ABF84CE-540C-4CDA-A45B-BAF7C83ACDC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MAIN</vt:lpstr>
      <vt:lpstr>PROCESS RATES</vt:lpstr>
      <vt:lpstr>LABOR REF</vt:lpstr>
      <vt:lpstr>GROSS LUMBER OUT</vt:lpstr>
      <vt:lpstr>LUMBER COST REF</vt:lpstr>
      <vt:lpstr>NAIL COST REF</vt:lpstr>
      <vt:lpstr>FINISHING REF</vt:lpstr>
      <vt:lpstr>LUMBER LENGTH REF</vt:lpstr>
      <vt:lpstr>MAIN!Print_Area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</dc:creator>
  <cp:lastModifiedBy>Greg</cp:lastModifiedBy>
  <cp:lastPrinted>2020-05-04T19:44:55Z</cp:lastPrinted>
  <dcterms:created xsi:type="dcterms:W3CDTF">2020-03-20T00:22:58Z</dcterms:created>
  <dcterms:modified xsi:type="dcterms:W3CDTF">2020-06-11T15:02:00Z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0x010100DFD10E39DC18014D8B30639D22FBCBD1</vt:lpwstr>
  </property>
</Properties>
</file>